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og\Desktop\Unipaz\TOSEM\Notas\"/>
    </mc:Choice>
  </mc:AlternateContent>
  <xr:revisionPtr revIDLastSave="0" documentId="13_ncr:1_{70FBCECD-AD81-4B83-B3A4-27DA7EBCA7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G4" i="2"/>
  <c r="H4" i="2" s="1"/>
  <c r="G5" i="2"/>
  <c r="H5" i="2" s="1"/>
  <c r="G22" i="2"/>
  <c r="H22" i="2" s="1"/>
  <c r="G21" i="2"/>
  <c r="H21" i="2" s="1"/>
  <c r="G20" i="2"/>
  <c r="H20" i="2" s="1"/>
  <c r="G19" i="2"/>
  <c r="H19" i="2" s="1"/>
  <c r="H18" i="2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</calcChain>
</file>

<file path=xl/sharedStrings.xml><?xml version="1.0" encoding="utf-8"?>
<sst xmlns="http://schemas.openxmlformats.org/spreadsheetml/2006/main" count="134" uniqueCount="97">
  <si>
    <t>nombre_alumno</t>
  </si>
  <si>
    <t>ACUÑA MENESES, DANIEL EDUARDO</t>
  </si>
  <si>
    <t>numero_documento</t>
  </si>
  <si>
    <t>1097183856</t>
  </si>
  <si>
    <t>numero_matriculas</t>
  </si>
  <si>
    <t>1</t>
  </si>
  <si>
    <t>numero_convocatorias</t>
  </si>
  <si>
    <t>observacion</t>
  </si>
  <si>
    <t>email</t>
  </si>
  <si>
    <t>daniel.acuname@unipaz.edu.co</t>
  </si>
  <si>
    <t>telefono</t>
  </si>
  <si>
    <t>3214781230</t>
  </si>
  <si>
    <t>AGAMEZ SANTOS, JORGE ANDRES</t>
  </si>
  <si>
    <t>1096801641</t>
  </si>
  <si>
    <t>jorge.agamez@unipaz.edu.co</t>
  </si>
  <si>
    <t>3207302363</t>
  </si>
  <si>
    <t>AMAYA DURAN, ARNULFO ELIAS</t>
  </si>
  <si>
    <t>1097183668</t>
  </si>
  <si>
    <t>arnulfo.amayadur@unipaz.edu.co</t>
  </si>
  <si>
    <t>3175056162</t>
  </si>
  <si>
    <t>DIAZ MENDOZA, JOSE LUIS</t>
  </si>
  <si>
    <t>1096200627</t>
  </si>
  <si>
    <t>jose.diazme@unipaz.edu.co</t>
  </si>
  <si>
    <t>3186804924</t>
  </si>
  <si>
    <t>ESCOBAR MOSCOTE, LEONARDO</t>
  </si>
  <si>
    <t>1096246370</t>
  </si>
  <si>
    <t>leonardo.escobarmo@unipaz.edu.co</t>
  </si>
  <si>
    <t>3243615961</t>
  </si>
  <si>
    <t>GAMARRA CAMPO, OSCAR DAMIAN</t>
  </si>
  <si>
    <t>1051634628</t>
  </si>
  <si>
    <t>oscar.gamarraca@unipaz.edu.co</t>
  </si>
  <si>
    <t>3170407651</t>
  </si>
  <si>
    <t>GRIMALDO JARAMILLO, JUAN SEBASTIAN</t>
  </si>
  <si>
    <t>1096802843</t>
  </si>
  <si>
    <t>juan.grimaldoja@unipaz.edu.co</t>
  </si>
  <si>
    <t>3106688693</t>
  </si>
  <si>
    <t>HERNÁNDEZ PARRA, LUIS EDUARDO</t>
  </si>
  <si>
    <t>1102373572</t>
  </si>
  <si>
    <t>luis.hernandezpa@unipaz.edu.co</t>
  </si>
  <si>
    <t>3154773780</t>
  </si>
  <si>
    <t>HOYOS TOLOZA, JHORJAN DANIEL</t>
  </si>
  <si>
    <t>1005186689</t>
  </si>
  <si>
    <t>jhorjand.hoyostol@unipaz.edu.co</t>
  </si>
  <si>
    <t>3219551061</t>
  </si>
  <si>
    <t>MEJIA MIELES, KEINER ANDRES</t>
  </si>
  <si>
    <t>1051634775</t>
  </si>
  <si>
    <t>keiner.mejiami@unipaz.edu.co</t>
  </si>
  <si>
    <t>3106755991</t>
  </si>
  <si>
    <t>OSPINO MONTOYA, HILLARY DANIELA</t>
  </si>
  <si>
    <t>1005185382</t>
  </si>
  <si>
    <t>hillary.ospinomo@unipaz.edu.co</t>
  </si>
  <si>
    <t>3245068852</t>
  </si>
  <si>
    <t>SALAS GALVAN, JHOEL FABIAN</t>
  </si>
  <si>
    <t>1005221431</t>
  </si>
  <si>
    <t>jhoel.salasga@unipaz.edu.co</t>
  </si>
  <si>
    <t>0</t>
  </si>
  <si>
    <t>SEPULVEDA RUEDA, XAVI DAMEK</t>
  </si>
  <si>
    <t>1097184508</t>
  </si>
  <si>
    <t>xavi.sepulvedaru@unipaz.edu.co</t>
  </si>
  <si>
    <t>3022936203</t>
  </si>
  <si>
    <t>SUAREZ ROVIRA, YEISON DONATO</t>
  </si>
  <si>
    <t>1096225235</t>
  </si>
  <si>
    <t>yeison.suarezro@unipaz.edu.co</t>
  </si>
  <si>
    <t>3021056232</t>
  </si>
  <si>
    <t>TORRES VANEGAS, LUIS ALEXANDER</t>
  </si>
  <si>
    <t>1052954359</t>
  </si>
  <si>
    <t>luisa.torresvan@unipaz.edu.co</t>
  </si>
  <si>
    <t>3106620678</t>
  </si>
  <si>
    <t>VARGAS RIVERA, SAMUEL</t>
  </si>
  <si>
    <t>1097783299</t>
  </si>
  <si>
    <t>samuel.vargasri@unipaz.edu.co</t>
  </si>
  <si>
    <t>3152893148</t>
  </si>
  <si>
    <t>VELEÑO JIMENEZ, SEBASTIAN</t>
  </si>
  <si>
    <t>1039681626</t>
  </si>
  <si>
    <t>sebastian.velenoji@unipaz.edu.co</t>
  </si>
  <si>
    <t>3246740168</t>
  </si>
  <si>
    <t>VILLAMIZAR MEJIA, MAICOL DANIEL</t>
  </si>
  <si>
    <t>1005462180</t>
  </si>
  <si>
    <t>maicol.danielme@unipaz.edu.co</t>
  </si>
  <si>
    <t>3232249075</t>
  </si>
  <si>
    <t>YURANI GOMEZ, ANGELICA YURANI</t>
  </si>
  <si>
    <t>1095800511</t>
  </si>
  <si>
    <t>angelica.yuranigo@unipaz.edu.co</t>
  </si>
  <si>
    <t>3227161980</t>
  </si>
  <si>
    <t>Registro de Notas — CORTE II</t>
  </si>
  <si>
    <t>Pesos de evaluación:</t>
  </si>
  <si>
    <t>Parcial 60%</t>
  </si>
  <si>
    <t>Talleres 30%</t>
  </si>
  <si>
    <t>Quiz 10%</t>
  </si>
  <si>
    <t>#</t>
  </si>
  <si>
    <t>Nombre Completo</t>
  </si>
  <si>
    <t>Código Estudiantil</t>
  </si>
  <si>
    <t>Parcial (60%)</t>
  </si>
  <si>
    <t>Talleres (30%)</t>
  </si>
  <si>
    <t>Quiz (10%)</t>
  </si>
  <si>
    <t>Nota Definitiva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</si>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</sst>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0"/>
      <color rgb="FF1F4E79"/>
      <name val="Arial"/>
    </font>
    <font>
      <b/>
      <sz val="10"/>
      <color rgb="FF2E75B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D6E4F0"/>
      </patternFill>
    </fill>
    <fill>
      <patternFill patternType="solid">
        <fgColor rgb="FFFF0000"/>
        <b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164" fontId="0" fillId="6" borderId="1" xfId="0" applyNumberForma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A2" sqref="A2:B20"/>
    </sheetView>
  </sheetViews>
  <sheetFormatPr baseColWidth="10" defaultColWidth="8.88671875" defaultRowHeight="14.4" x14ac:dyDescent="0.3"/>
  <cols>
    <col min="1" max="1" width="35.109375" bestFit="1" customWidth="1"/>
  </cols>
  <sheetData>
    <row r="1" spans="1:7" x14ac:dyDescent="0.3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10</v>
      </c>
    </row>
    <row r="2" spans="1:7" x14ac:dyDescent="0.3">
      <c r="A2" t="s">
        <v>1</v>
      </c>
      <c r="B2" t="s">
        <v>3</v>
      </c>
      <c r="C2" t="s">
        <v>5</v>
      </c>
      <c r="D2" t="s">
        <v>5</v>
      </c>
      <c r="F2" t="s">
        <v>9</v>
      </c>
      <c r="G2" t="s">
        <v>11</v>
      </c>
    </row>
    <row r="3" spans="1:7" x14ac:dyDescent="0.3">
      <c r="A3" t="s">
        <v>12</v>
      </c>
      <c r="B3" t="s">
        <v>13</v>
      </c>
      <c r="C3" t="s">
        <v>5</v>
      </c>
      <c r="D3" t="s">
        <v>5</v>
      </c>
      <c r="F3" t="s">
        <v>14</v>
      </c>
      <c r="G3" t="s">
        <v>15</v>
      </c>
    </row>
    <row r="4" spans="1:7" x14ac:dyDescent="0.3">
      <c r="A4" t="s">
        <v>16</v>
      </c>
      <c r="B4" t="s">
        <v>17</v>
      </c>
      <c r="C4" t="s">
        <v>5</v>
      </c>
      <c r="D4" t="s">
        <v>5</v>
      </c>
      <c r="F4" t="s">
        <v>18</v>
      </c>
      <c r="G4" t="s">
        <v>19</v>
      </c>
    </row>
    <row r="5" spans="1:7" x14ac:dyDescent="0.3">
      <c r="A5" t="s">
        <v>20</v>
      </c>
      <c r="B5" t="s">
        <v>21</v>
      </c>
      <c r="C5" t="s">
        <v>5</v>
      </c>
      <c r="D5" t="s">
        <v>5</v>
      </c>
      <c r="F5" t="s">
        <v>22</v>
      </c>
      <c r="G5" t="s">
        <v>23</v>
      </c>
    </row>
    <row r="6" spans="1:7" x14ac:dyDescent="0.3">
      <c r="A6" t="s">
        <v>24</v>
      </c>
      <c r="B6" t="s">
        <v>25</v>
      </c>
      <c r="C6" t="s">
        <v>5</v>
      </c>
      <c r="D6" t="s">
        <v>5</v>
      </c>
      <c r="F6" t="s">
        <v>26</v>
      </c>
      <c r="G6" t="s">
        <v>27</v>
      </c>
    </row>
    <row r="7" spans="1:7" x14ac:dyDescent="0.3">
      <c r="A7" t="s">
        <v>28</v>
      </c>
      <c r="B7" t="s">
        <v>29</v>
      </c>
      <c r="C7" t="s">
        <v>5</v>
      </c>
      <c r="D7" t="s">
        <v>5</v>
      </c>
      <c r="F7" t="s">
        <v>30</v>
      </c>
      <c r="G7" t="s">
        <v>31</v>
      </c>
    </row>
    <row r="8" spans="1:7" x14ac:dyDescent="0.3">
      <c r="A8" t="s">
        <v>32</v>
      </c>
      <c r="B8" t="s">
        <v>33</v>
      </c>
      <c r="C8" t="s">
        <v>5</v>
      </c>
      <c r="D8" t="s">
        <v>5</v>
      </c>
      <c r="F8" t="s">
        <v>34</v>
      </c>
      <c r="G8" t="s">
        <v>35</v>
      </c>
    </row>
    <row r="9" spans="1:7" x14ac:dyDescent="0.3">
      <c r="A9" t="s">
        <v>36</v>
      </c>
      <c r="B9" t="s">
        <v>37</v>
      </c>
      <c r="C9" t="s">
        <v>5</v>
      </c>
      <c r="D9" t="s">
        <v>5</v>
      </c>
      <c r="F9" t="s">
        <v>38</v>
      </c>
      <c r="G9" t="s">
        <v>39</v>
      </c>
    </row>
    <row r="10" spans="1:7" x14ac:dyDescent="0.3">
      <c r="A10" t="s">
        <v>40</v>
      </c>
      <c r="B10" t="s">
        <v>41</v>
      </c>
      <c r="C10" t="s">
        <v>5</v>
      </c>
      <c r="D10" t="s">
        <v>5</v>
      </c>
      <c r="F10" t="s">
        <v>42</v>
      </c>
      <c r="G10" t="s">
        <v>43</v>
      </c>
    </row>
    <row r="11" spans="1:7" x14ac:dyDescent="0.3">
      <c r="A11" t="s">
        <v>44</v>
      </c>
      <c r="B11" t="s">
        <v>45</v>
      </c>
      <c r="C11" t="s">
        <v>5</v>
      </c>
      <c r="D11" t="s">
        <v>5</v>
      </c>
      <c r="F11" t="s">
        <v>46</v>
      </c>
      <c r="G11" t="s">
        <v>47</v>
      </c>
    </row>
    <row r="12" spans="1:7" x14ac:dyDescent="0.3">
      <c r="A12" t="s">
        <v>48</v>
      </c>
      <c r="B12" t="s">
        <v>49</v>
      </c>
      <c r="C12" t="s">
        <v>5</v>
      </c>
      <c r="D12" t="s">
        <v>5</v>
      </c>
      <c r="F12" t="s">
        <v>50</v>
      </c>
      <c r="G12" t="s">
        <v>51</v>
      </c>
    </row>
    <row r="13" spans="1:7" x14ac:dyDescent="0.3">
      <c r="A13" t="s">
        <v>52</v>
      </c>
      <c r="B13" t="s">
        <v>53</v>
      </c>
      <c r="C13" t="s">
        <v>5</v>
      </c>
      <c r="D13" t="s">
        <v>5</v>
      </c>
      <c r="F13" t="s">
        <v>54</v>
      </c>
      <c r="G13" t="s">
        <v>55</v>
      </c>
    </row>
    <row r="14" spans="1:7" x14ac:dyDescent="0.3">
      <c r="A14" t="s">
        <v>56</v>
      </c>
      <c r="B14" t="s">
        <v>57</v>
      </c>
      <c r="C14" t="s">
        <v>5</v>
      </c>
      <c r="D14" t="s">
        <v>5</v>
      </c>
      <c r="F14" t="s">
        <v>58</v>
      </c>
      <c r="G14" t="s">
        <v>59</v>
      </c>
    </row>
    <row r="15" spans="1:7" x14ac:dyDescent="0.3">
      <c r="A15" t="s">
        <v>60</v>
      </c>
      <c r="B15" t="s">
        <v>61</v>
      </c>
      <c r="C15" t="s">
        <v>5</v>
      </c>
      <c r="D15" t="s">
        <v>5</v>
      </c>
      <c r="F15" t="s">
        <v>62</v>
      </c>
      <c r="G15" t="s">
        <v>63</v>
      </c>
    </row>
    <row r="16" spans="1:7" x14ac:dyDescent="0.3">
      <c r="A16" t="s">
        <v>64</v>
      </c>
      <c r="B16" t="s">
        <v>65</v>
      </c>
      <c r="C16" t="s">
        <v>5</v>
      </c>
      <c r="D16" t="s">
        <v>5</v>
      </c>
      <c r="F16" t="s">
        <v>66</v>
      </c>
      <c r="G16" t="s">
        <v>67</v>
      </c>
    </row>
    <row r="17" spans="1:7" x14ac:dyDescent="0.3">
      <c r="A17" t="s">
        <v>68</v>
      </c>
      <c r="B17" t="s">
        <v>69</v>
      </c>
      <c r="C17" t="s">
        <v>5</v>
      </c>
      <c r="D17" t="s">
        <v>5</v>
      </c>
      <c r="F17" t="s">
        <v>70</v>
      </c>
      <c r="G17" t="s">
        <v>71</v>
      </c>
    </row>
    <row r="18" spans="1:7" x14ac:dyDescent="0.3">
      <c r="A18" t="s">
        <v>72</v>
      </c>
      <c r="B18" t="s">
        <v>73</v>
      </c>
      <c r="C18" t="s">
        <v>5</v>
      </c>
      <c r="D18" t="s">
        <v>5</v>
      </c>
      <c r="F18" t="s">
        <v>74</v>
      </c>
      <c r="G18" t="s">
        <v>75</v>
      </c>
    </row>
    <row r="19" spans="1:7" x14ac:dyDescent="0.3">
      <c r="A19" t="s">
        <v>76</v>
      </c>
      <c r="B19" t="s">
        <v>77</v>
      </c>
      <c r="C19" t="s">
        <v>5</v>
      </c>
      <c r="D19" t="s">
        <v>5</v>
      </c>
      <c r="F19" t="s">
        <v>78</v>
      </c>
      <c r="G19" t="s">
        <v>79</v>
      </c>
    </row>
    <row r="20" spans="1:7" x14ac:dyDescent="0.3">
      <c r="A20" t="s">
        <v>80</v>
      </c>
      <c r="B20" t="s">
        <v>81</v>
      </c>
      <c r="C20" t="s">
        <v>5</v>
      </c>
      <c r="D20" t="s">
        <v>5</v>
      </c>
      <c r="F20" t="s">
        <v>82</v>
      </c>
      <c r="G2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5D28-4EAC-4AFC-A452-63E0D61FB39B}">
  <dimension ref="A1:H22"/>
  <sheetViews>
    <sheetView tabSelected="1" workbookViewId="0">
      <selection activeCell="E11" sqref="E11"/>
    </sheetView>
  </sheetViews>
  <sheetFormatPr baseColWidth="10" defaultRowHeight="14.4" x14ac:dyDescent="0.3"/>
  <cols>
    <col min="1" max="1" width="3" bestFit="1" customWidth="1"/>
    <col min="2" max="2" width="38" bestFit="1" customWidth="1"/>
    <col min="3" max="3" width="11.21875" bestFit="1" customWidth="1"/>
    <col min="4" max="4" width="10" customWidth="1"/>
    <col min="8" max="8" width="12.88671875" bestFit="1" customWidth="1"/>
  </cols>
  <sheetData>
    <row r="1" spans="1:8" ht="17.399999999999999" x14ac:dyDescent="0.3">
      <c r="A1" s="1" t="s">
        <v>84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85</v>
      </c>
      <c r="B2" s="2"/>
      <c r="C2" s="4" t="s">
        <v>86</v>
      </c>
      <c r="D2" s="4" t="s">
        <v>87</v>
      </c>
      <c r="E2" s="4" t="s">
        <v>88</v>
      </c>
    </row>
    <row r="3" spans="1:8" ht="27.6" x14ac:dyDescent="0.3">
      <c r="A3" s="5" t="s">
        <v>89</v>
      </c>
      <c r="B3" s="5" t="s">
        <v>90</v>
      </c>
      <c r="C3" s="5" t="s">
        <v>91</v>
      </c>
      <c r="D3" s="5" t="s">
        <v>92</v>
      </c>
      <c r="E3" s="5" t="s">
        <v>93</v>
      </c>
      <c r="F3" s="5" t="s">
        <v>94</v>
      </c>
      <c r="G3" s="5" t="s">
        <v>95</v>
      </c>
      <c r="H3" s="5" t="s">
        <v>96</v>
      </c>
    </row>
    <row r="4" spans="1:8" x14ac:dyDescent="0.3">
      <c r="A4" s="6">
        <v>1</v>
      </c>
      <c r="B4" s="7" t="str">
        <f>Sheet1!A2</f>
        <v>ACUÑA MENESES, DANIEL EDUARDO</v>
      </c>
      <c r="C4" s="6" t="str">
        <f>Sheet1!B2</f>
        <v>1097183856</v>
      </c>
      <c r="D4" s="8"/>
      <c r="E4" s="8">
        <v>4.5</v>
      </c>
      <c r="F4" s="8">
        <v>4.5</v>
      </c>
      <c r="G4" s="9" t="str">
        <f t="shared" ref="G4:G22" si="0">IF(AND(D4&lt;&gt;"",E4&lt;&gt;"",F4&lt;&gt;""),D4*0.6+E4*0.3+F4*0.1,"")</f>
        <v/>
      </c>
      <c r="H4" s="10" t="str">
        <f t="shared" ref="H4:H22" si="1">IF(G4="","",IF(G4&gt;=3,"APROBADO","REPROBADO"))</f>
        <v/>
      </c>
    </row>
    <row r="5" spans="1:8" x14ac:dyDescent="0.3">
      <c r="A5" s="11">
        <v>2</v>
      </c>
      <c r="B5" s="12" t="str">
        <f>Sheet1!A3</f>
        <v>AGAMEZ SANTOS, JORGE ANDRES</v>
      </c>
      <c r="C5" s="11" t="str">
        <f>Sheet1!B3</f>
        <v>1096801641</v>
      </c>
      <c r="D5" s="13"/>
      <c r="E5" s="13">
        <v>4.5</v>
      </c>
      <c r="F5" s="13">
        <v>4.5</v>
      </c>
      <c r="G5" s="9" t="str">
        <f t="shared" si="0"/>
        <v/>
      </c>
      <c r="H5" s="14" t="str">
        <f t="shared" si="1"/>
        <v/>
      </c>
    </row>
    <row r="6" spans="1:8" x14ac:dyDescent="0.3">
      <c r="A6" s="6">
        <v>3</v>
      </c>
      <c r="B6" s="7" t="str">
        <f>Sheet1!A4</f>
        <v>AMAYA DURAN, ARNULFO ELIAS</v>
      </c>
      <c r="C6" s="6" t="str">
        <f>Sheet1!B4</f>
        <v>1097183668</v>
      </c>
      <c r="D6" s="8"/>
      <c r="E6" s="8">
        <v>4.5</v>
      </c>
      <c r="F6" s="8">
        <v>4.5</v>
      </c>
      <c r="G6" s="9" t="str">
        <f t="shared" si="0"/>
        <v/>
      </c>
      <c r="H6" s="10" t="str">
        <f t="shared" si="1"/>
        <v/>
      </c>
    </row>
    <row r="7" spans="1:8" x14ac:dyDescent="0.3">
      <c r="A7" s="11">
        <v>4</v>
      </c>
      <c r="B7" s="12" t="str">
        <f>Sheet1!A5</f>
        <v>DIAZ MENDOZA, JOSE LUIS</v>
      </c>
      <c r="C7" s="11" t="str">
        <f>Sheet1!B5</f>
        <v>1096200627</v>
      </c>
      <c r="D7" s="13">
        <v>5</v>
      </c>
      <c r="E7" s="13">
        <v>4.5</v>
      </c>
      <c r="F7" s="13">
        <v>4.5</v>
      </c>
      <c r="G7" s="9">
        <f t="shared" si="0"/>
        <v>4.8</v>
      </c>
      <c r="H7" s="14" t="str">
        <f t="shared" si="1"/>
        <v>APROBADO</v>
      </c>
    </row>
    <row r="8" spans="1:8" x14ac:dyDescent="0.3">
      <c r="A8" s="6">
        <v>5</v>
      </c>
      <c r="B8" s="7" t="str">
        <f>Sheet1!A6</f>
        <v>ESCOBAR MOSCOTE, LEONARDO</v>
      </c>
      <c r="C8" s="6" t="str">
        <f>Sheet1!B6</f>
        <v>1096246370</v>
      </c>
      <c r="D8" s="8"/>
      <c r="E8" s="8">
        <v>4.5</v>
      </c>
      <c r="F8" s="8">
        <v>4.5</v>
      </c>
      <c r="G8" s="9" t="str">
        <f t="shared" si="0"/>
        <v/>
      </c>
      <c r="H8" s="10" t="str">
        <f t="shared" si="1"/>
        <v/>
      </c>
    </row>
    <row r="9" spans="1:8" x14ac:dyDescent="0.3">
      <c r="A9" s="11">
        <v>6</v>
      </c>
      <c r="B9" s="12" t="str">
        <f>Sheet1!A7</f>
        <v>GAMARRA CAMPO, OSCAR DAMIAN</v>
      </c>
      <c r="C9" s="11" t="str">
        <f>Sheet1!B7</f>
        <v>1051634628</v>
      </c>
      <c r="D9" s="13"/>
      <c r="E9" s="13">
        <v>4.5</v>
      </c>
      <c r="F9" s="13">
        <v>4.5</v>
      </c>
      <c r="G9" s="9" t="str">
        <f t="shared" si="0"/>
        <v/>
      </c>
      <c r="H9" s="14" t="str">
        <f t="shared" si="1"/>
        <v/>
      </c>
    </row>
    <row r="10" spans="1:8" x14ac:dyDescent="0.3">
      <c r="A10" s="6">
        <v>7</v>
      </c>
      <c r="B10" s="7" t="str">
        <f>Sheet1!A8</f>
        <v>GRIMALDO JARAMILLO, JUAN SEBASTIAN</v>
      </c>
      <c r="C10" s="6" t="str">
        <f>Sheet1!B8</f>
        <v>1096802843</v>
      </c>
      <c r="D10" s="8"/>
      <c r="E10" s="8">
        <v>4.5</v>
      </c>
      <c r="F10" s="8">
        <v>4.5</v>
      </c>
      <c r="G10" s="9" t="str">
        <f t="shared" si="0"/>
        <v/>
      </c>
      <c r="H10" s="10" t="str">
        <f t="shared" si="1"/>
        <v/>
      </c>
    </row>
    <row r="11" spans="1:8" x14ac:dyDescent="0.3">
      <c r="A11" s="11">
        <v>8</v>
      </c>
      <c r="B11" s="12" t="str">
        <f>Sheet1!A9</f>
        <v>HERNÁNDEZ PARRA, LUIS EDUARDO</v>
      </c>
      <c r="C11" s="11" t="str">
        <f>Sheet1!B9</f>
        <v>1102373572</v>
      </c>
      <c r="D11" s="13">
        <v>5</v>
      </c>
      <c r="E11" s="13">
        <v>4.5</v>
      </c>
      <c r="F11" s="13">
        <v>4.5</v>
      </c>
      <c r="G11" s="9">
        <f t="shared" si="0"/>
        <v>4.8</v>
      </c>
      <c r="H11" s="14" t="str">
        <f t="shared" si="1"/>
        <v>APROBADO</v>
      </c>
    </row>
    <row r="12" spans="1:8" x14ac:dyDescent="0.3">
      <c r="A12" s="6">
        <v>9</v>
      </c>
      <c r="B12" s="7" t="str">
        <f>Sheet1!A10</f>
        <v>HOYOS TOLOZA, JHORJAN DANIEL</v>
      </c>
      <c r="C12" s="6" t="str">
        <f>Sheet1!B10</f>
        <v>1005186689</v>
      </c>
      <c r="D12" s="8"/>
      <c r="E12" s="8">
        <v>4.5</v>
      </c>
      <c r="F12" s="8">
        <v>4.5</v>
      </c>
      <c r="G12" s="9" t="str">
        <f t="shared" si="0"/>
        <v/>
      </c>
      <c r="H12" s="10" t="str">
        <f t="shared" si="1"/>
        <v/>
      </c>
    </row>
    <row r="13" spans="1:8" x14ac:dyDescent="0.3">
      <c r="A13" s="11">
        <v>10</v>
      </c>
      <c r="B13" s="12" t="str">
        <f>Sheet1!A11</f>
        <v>MEJIA MIELES, KEINER ANDRES</v>
      </c>
      <c r="C13" s="11" t="str">
        <f>Sheet1!B11</f>
        <v>1051634775</v>
      </c>
      <c r="D13" s="13"/>
      <c r="E13" s="13">
        <v>4.5</v>
      </c>
      <c r="F13" s="13">
        <v>4.5</v>
      </c>
      <c r="G13" s="9" t="str">
        <f t="shared" si="0"/>
        <v/>
      </c>
      <c r="H13" s="14" t="str">
        <f t="shared" si="1"/>
        <v/>
      </c>
    </row>
    <row r="14" spans="1:8" x14ac:dyDescent="0.3">
      <c r="A14" s="6">
        <v>11</v>
      </c>
      <c r="B14" s="7" t="str">
        <f>Sheet1!A12</f>
        <v>OSPINO MONTOYA, HILLARY DANIELA</v>
      </c>
      <c r="C14" s="6" t="str">
        <f>Sheet1!B12</f>
        <v>1005185382</v>
      </c>
      <c r="D14" s="8"/>
      <c r="E14" s="8">
        <v>4.5</v>
      </c>
      <c r="F14" s="8">
        <v>4.5</v>
      </c>
      <c r="G14" s="9" t="str">
        <f t="shared" si="0"/>
        <v/>
      </c>
      <c r="H14" s="10" t="str">
        <f t="shared" si="1"/>
        <v/>
      </c>
    </row>
    <row r="15" spans="1:8" x14ac:dyDescent="0.3">
      <c r="A15" s="11">
        <v>12</v>
      </c>
      <c r="B15" s="12" t="str">
        <f>Sheet1!A13</f>
        <v>SALAS GALVAN, JHOEL FABIAN</v>
      </c>
      <c r="C15" s="11" t="str">
        <f>Sheet1!B13</f>
        <v>1005221431</v>
      </c>
      <c r="D15" s="13"/>
      <c r="E15" s="13">
        <v>4.5</v>
      </c>
      <c r="F15" s="13">
        <v>4.5</v>
      </c>
      <c r="G15" s="9" t="str">
        <f t="shared" si="0"/>
        <v/>
      </c>
      <c r="H15" s="14" t="str">
        <f t="shared" si="1"/>
        <v/>
      </c>
    </row>
    <row r="16" spans="1:8" x14ac:dyDescent="0.3">
      <c r="A16" s="6">
        <v>13</v>
      </c>
      <c r="B16" s="7" t="str">
        <f>Sheet1!A14</f>
        <v>SEPULVEDA RUEDA, XAVI DAMEK</v>
      </c>
      <c r="C16" s="6" t="str">
        <f>Sheet1!B14</f>
        <v>1097184508</v>
      </c>
      <c r="D16" s="8"/>
      <c r="E16" s="8">
        <v>4.5</v>
      </c>
      <c r="F16" s="8">
        <v>4.5</v>
      </c>
      <c r="G16" s="9" t="str">
        <f t="shared" si="0"/>
        <v/>
      </c>
      <c r="H16" s="10" t="str">
        <f t="shared" si="1"/>
        <v/>
      </c>
    </row>
    <row r="17" spans="1:8" x14ac:dyDescent="0.3">
      <c r="A17" s="11">
        <v>14</v>
      </c>
      <c r="B17" s="12" t="str">
        <f>Sheet1!A15</f>
        <v>SUAREZ ROVIRA, YEISON DONATO</v>
      </c>
      <c r="C17" s="11" t="str">
        <f>Sheet1!B15</f>
        <v>1096225235</v>
      </c>
      <c r="D17" s="13"/>
      <c r="E17" s="13">
        <v>4.5</v>
      </c>
      <c r="F17" s="13">
        <v>4.5</v>
      </c>
      <c r="G17" s="9" t="str">
        <f t="shared" si="0"/>
        <v/>
      </c>
      <c r="H17" s="14" t="str">
        <f t="shared" si="1"/>
        <v/>
      </c>
    </row>
    <row r="18" spans="1:8" x14ac:dyDescent="0.3">
      <c r="A18" s="15">
        <v>15</v>
      </c>
      <c r="B18" s="16" t="str">
        <f>Sheet1!A16</f>
        <v>TORRES VANEGAS, LUIS ALEXANDER</v>
      </c>
      <c r="C18" s="15" t="str">
        <f>Sheet1!B16</f>
        <v>1052954359</v>
      </c>
      <c r="D18" s="17"/>
      <c r="E18" s="17"/>
      <c r="F18" s="17"/>
      <c r="G18" s="18">
        <v>0</v>
      </c>
      <c r="H18" s="19" t="str">
        <f t="shared" si="1"/>
        <v>REPROBADO</v>
      </c>
    </row>
    <row r="19" spans="1:8" x14ac:dyDescent="0.3">
      <c r="A19" s="11">
        <v>16</v>
      </c>
      <c r="B19" s="12" t="str">
        <f>Sheet1!A17</f>
        <v>VARGAS RIVERA, SAMUEL</v>
      </c>
      <c r="C19" s="11" t="str">
        <f>Sheet1!B17</f>
        <v>1097783299</v>
      </c>
      <c r="D19" s="13"/>
      <c r="E19" s="13">
        <v>4.5</v>
      </c>
      <c r="F19" s="13">
        <v>4.5</v>
      </c>
      <c r="G19" s="9" t="str">
        <f t="shared" si="0"/>
        <v/>
      </c>
      <c r="H19" s="14" t="str">
        <f t="shared" si="1"/>
        <v/>
      </c>
    </row>
    <row r="20" spans="1:8" x14ac:dyDescent="0.3">
      <c r="A20" s="6">
        <v>17</v>
      </c>
      <c r="B20" s="7" t="str">
        <f>Sheet1!A18</f>
        <v>VELEÑO JIMENEZ, SEBASTIAN</v>
      </c>
      <c r="C20" s="6" t="str">
        <f>Sheet1!B18</f>
        <v>1039681626</v>
      </c>
      <c r="D20" s="8"/>
      <c r="E20" s="8">
        <v>4.5</v>
      </c>
      <c r="F20" s="8">
        <v>4.5</v>
      </c>
      <c r="G20" s="9" t="str">
        <f t="shared" si="0"/>
        <v/>
      </c>
      <c r="H20" s="10" t="str">
        <f t="shared" si="1"/>
        <v/>
      </c>
    </row>
    <row r="21" spans="1:8" x14ac:dyDescent="0.3">
      <c r="A21" s="11">
        <v>18</v>
      </c>
      <c r="B21" s="12" t="str">
        <f>Sheet1!A19</f>
        <v>VILLAMIZAR MEJIA, MAICOL DANIEL</v>
      </c>
      <c r="C21" s="11" t="str">
        <f>Sheet1!B19</f>
        <v>1005462180</v>
      </c>
      <c r="D21" s="13"/>
      <c r="E21" s="13">
        <v>4.5</v>
      </c>
      <c r="F21" s="13">
        <v>4.5</v>
      </c>
      <c r="G21" s="9" t="str">
        <f t="shared" si="0"/>
        <v/>
      </c>
      <c r="H21" s="14" t="str">
        <f t="shared" si="1"/>
        <v/>
      </c>
    </row>
    <row r="22" spans="1:8" x14ac:dyDescent="0.3">
      <c r="A22" s="6">
        <v>19</v>
      </c>
      <c r="B22" s="7" t="str">
        <f>Sheet1!A20</f>
        <v>YURANI GOMEZ, ANGELICA YURANI</v>
      </c>
      <c r="C22" s="6" t="str">
        <f>Sheet1!B20</f>
        <v>1095800511</v>
      </c>
      <c r="D22" s="8"/>
      <c r="E22" s="8">
        <v>4.5</v>
      </c>
      <c r="F22" s="8">
        <v>4.5</v>
      </c>
      <c r="G22" s="9" t="str">
        <f t="shared" si="0"/>
        <v/>
      </c>
      <c r="H22" s="10" t="str">
        <f t="shared" si="1"/>
        <v/>
      </c>
    </row>
  </sheetData>
  <mergeCells count="2">
    <mergeCell ref="A1:H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Gomez</dc:creator>
  <cp:lastModifiedBy>Marlon Gomez</cp:lastModifiedBy>
  <dcterms:created xsi:type="dcterms:W3CDTF">2026-05-19T22:00:18Z</dcterms:created>
  <dcterms:modified xsi:type="dcterms:W3CDTF">2026-05-19T22:10:17Z</dcterms:modified>
</cp:coreProperties>
</file>
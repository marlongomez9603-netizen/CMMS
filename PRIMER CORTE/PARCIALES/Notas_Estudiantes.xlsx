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jog\Desktop\Unipaz\TOSEM\PRIMER CORTE\PARCIALES\"/>
    </mc:Choice>
  </mc:AlternateContent>
  <xr:revisionPtr revIDLastSave="0" documentId="13_ncr:1_{A8E2AE14-E505-4524-A6AB-D52224FE21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_Examen" sheetId="1" r:id="rId1"/>
    <sheet name="CORTE I" sheetId="2" r:id="rId2"/>
    <sheet name="CORTE II" sheetId="3" r:id="rId3"/>
    <sheet name="CORTE II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2" l="1"/>
  <c r="R22" i="2" s="1"/>
  <c r="Q21" i="2"/>
  <c r="R21" i="2" s="1"/>
  <c r="Q20" i="2"/>
  <c r="R20" i="2" s="1"/>
  <c r="Q19" i="2"/>
  <c r="R19" i="2" s="1"/>
  <c r="Q18" i="2"/>
  <c r="R18" i="2" s="1"/>
  <c r="Q17" i="2"/>
  <c r="R17" i="2" s="1"/>
  <c r="Q16" i="2"/>
  <c r="R16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8" i="2"/>
  <c r="R8" i="2" s="1"/>
  <c r="Q7" i="2"/>
  <c r="R7" i="2" s="1"/>
  <c r="Q6" i="2"/>
  <c r="R6" i="2" s="1"/>
  <c r="Q5" i="2"/>
  <c r="R5" i="2" s="1"/>
  <c r="Q4" i="2"/>
  <c r="R4" i="2" s="1"/>
  <c r="F8" i="2"/>
  <c r="G8" i="2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H11" i="4"/>
  <c r="G11" i="4"/>
  <c r="G10" i="4"/>
  <c r="H10" i="4" s="1"/>
  <c r="G9" i="4"/>
  <c r="H9" i="4" s="1"/>
  <c r="G8" i="4"/>
  <c r="H8" i="4" s="1"/>
  <c r="G7" i="4"/>
  <c r="H7" i="4" s="1"/>
  <c r="G6" i="4"/>
  <c r="H6" i="4" s="1"/>
  <c r="H5" i="4"/>
  <c r="G5" i="4"/>
  <c r="G4" i="4"/>
  <c r="H4" i="4" s="1"/>
  <c r="G22" i="3"/>
  <c r="H22" i="3" s="1"/>
  <c r="G21" i="3"/>
  <c r="H21" i="3" s="1"/>
  <c r="G20" i="3"/>
  <c r="H20" i="3" s="1"/>
  <c r="G19" i="3"/>
  <c r="H19" i="3" s="1"/>
  <c r="H18" i="3"/>
  <c r="G18" i="3"/>
  <c r="G17" i="3"/>
  <c r="H17" i="3" s="1"/>
  <c r="G16" i="3"/>
  <c r="H16" i="3" s="1"/>
  <c r="G15" i="3"/>
  <c r="H15" i="3" s="1"/>
  <c r="G14" i="3"/>
  <c r="H14" i="3" s="1"/>
  <c r="G13" i="3"/>
  <c r="H13" i="3" s="1"/>
  <c r="H12" i="3"/>
  <c r="G12" i="3"/>
  <c r="G11" i="3"/>
  <c r="H11" i="3" s="1"/>
  <c r="G10" i="3"/>
  <c r="H10" i="3" s="1"/>
  <c r="G9" i="3"/>
  <c r="H9" i="3" s="1"/>
  <c r="G8" i="3"/>
  <c r="H8" i="3" s="1"/>
  <c r="G7" i="3"/>
  <c r="H7" i="3" s="1"/>
  <c r="H6" i="3"/>
  <c r="G6" i="3"/>
  <c r="G5" i="3"/>
  <c r="H5" i="3" s="1"/>
  <c r="G4" i="3"/>
  <c r="H4" i="3" s="1"/>
  <c r="F7" i="2"/>
  <c r="G7" i="2" s="1"/>
  <c r="F10" i="2"/>
  <c r="G10" i="2" s="1"/>
  <c r="F12" i="2"/>
  <c r="G12" i="2" s="1"/>
  <c r="F14" i="2"/>
  <c r="G14" i="2" s="1"/>
  <c r="F15" i="2"/>
  <c r="G15" i="2" s="1"/>
  <c r="F4" i="2"/>
  <c r="G4" i="2" s="1"/>
  <c r="F18" i="2"/>
  <c r="G18" i="2" s="1"/>
  <c r="F20" i="2"/>
  <c r="G20" i="2" s="1"/>
  <c r="F22" i="2"/>
  <c r="G22" i="2" s="1"/>
  <c r="F6" i="2"/>
  <c r="G6" i="2" s="1"/>
  <c r="F19" i="2"/>
  <c r="G19" i="2" s="1"/>
  <c r="F17" i="2"/>
  <c r="G17" i="2" s="1"/>
  <c r="F13" i="2"/>
  <c r="G13" i="2" s="1"/>
  <c r="F9" i="2"/>
  <c r="G9" i="2" s="1"/>
  <c r="F11" i="2"/>
  <c r="G11" i="2" s="1"/>
  <c r="F16" i="2"/>
  <c r="G16" i="2" s="1"/>
  <c r="F21" i="2"/>
  <c r="G21" i="2" s="1"/>
  <c r="F5" i="2"/>
  <c r="G5" i="2" s="1"/>
</calcChain>
</file>

<file path=xl/sharedStrings.xml><?xml version="1.0" encoding="utf-8"?>
<sst xmlns="http://schemas.openxmlformats.org/spreadsheetml/2006/main" count="166" uniqueCount="42">
  <si>
    <t>Nombre Completo</t>
  </si>
  <si>
    <t>Codigo Estudiantil</t>
  </si>
  <si>
    <t>Nota Final</t>
  </si>
  <si>
    <t>Infracciones Fraude</t>
  </si>
  <si>
    <t>Errores Fase 1</t>
  </si>
  <si>
    <t>Errores Fase 2</t>
  </si>
  <si>
    <t>Errores Fase 3</t>
  </si>
  <si>
    <t>Errores Fase 4</t>
  </si>
  <si>
    <t>Resultado</t>
  </si>
  <si>
    <t>Jhoel Fabian Salas Galvan</t>
  </si>
  <si>
    <t>APROBADO</t>
  </si>
  <si>
    <t>Arnulfo Elias Amaya Duran</t>
  </si>
  <si>
    <t>Xavi Damek Sepulveda Rueda</t>
  </si>
  <si>
    <t>REPROBADO</t>
  </si>
  <si>
    <t>Luis Eduardo Hernández Parra</t>
  </si>
  <si>
    <t>José Luis Díaz Mendoza</t>
  </si>
  <si>
    <t>Jhorjan Daniel hoyos toloza</t>
  </si>
  <si>
    <t>Keiner Andrés Mejía mieles</t>
  </si>
  <si>
    <t>Maicol Daniel Villamizar Mejia</t>
  </si>
  <si>
    <t>Samuel Vargas Rivera</t>
  </si>
  <si>
    <t>Daniel Eduardo Acuña meneses</t>
  </si>
  <si>
    <t>Yeison Donato Suárez Rovira</t>
  </si>
  <si>
    <t>Sebastian Veleño Jimenez</t>
  </si>
  <si>
    <t>Oscar Damian Gamarra campo</t>
  </si>
  <si>
    <t>Angelica gomez</t>
  </si>
  <si>
    <t>LUIS ALEXANDER TORRES VANEGAS</t>
  </si>
  <si>
    <t>Leonardo escobar</t>
  </si>
  <si>
    <t>Juan Sebastián Grimaldo Jaramillo</t>
  </si>
  <si>
    <t>Jorge Andrés Agamez Santos</t>
  </si>
  <si>
    <t>Hillary ospino</t>
  </si>
  <si>
    <t>Pesos de evaluación:</t>
  </si>
  <si>
    <t>Parcial 60%</t>
  </si>
  <si>
    <t>Talleres 30%</t>
  </si>
  <si>
    <t>Quiz 10%</t>
  </si>
  <si>
    <t>#</t>
  </si>
  <si>
    <t>Código Estudiantil</t>
  </si>
  <si>
    <t>Parcial (60%)</t>
  </si>
  <si>
    <t>Talleres (30%)</t>
  </si>
  <si>
    <t>Quiz (10%)</t>
  </si>
  <si>
    <t>Nota Definitiva</t>
  </si>
  <si>
    <t>Registro de Notas — CORTE II</t>
  </si>
  <si>
    <t>Registro de Notas — CORTE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</si>
</sst>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b/>
      <sz val="14"/>
      <color rgb="FF1F4E79"/>
      <name val="Arial"/>
    </font>
    <font>
      <b/>
      <sz val="10"/>
      <color rgb="FF1F4E79"/>
      <name val="Arial"/>
    </font>
    <font>
      <b/>
      <sz val="10"/>
      <color rgb="FF2E75B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0" borderId="0" xfId="0" applyFont="1"/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workbookViewId="0">
      <pane ySplit="1" topLeftCell="A2" activePane="bottomLeft" state="frozen"/>
      <selection pane="bottomLeft" activeCell="C2" sqref="C2:C20"/>
    </sheetView>
  </sheetViews>
  <sheetFormatPr baseColWidth="10" defaultColWidth="12.6640625" defaultRowHeight="15.75" customHeight="1" x14ac:dyDescent="0.25"/>
  <cols>
    <col min="1" max="1" width="33.88671875" bestFit="1" customWidth="1"/>
    <col min="2" max="2" width="17.109375" bestFit="1" customWidth="1"/>
    <col min="4" max="4" width="18.33203125" bestFit="1" customWidth="1"/>
    <col min="5" max="8" width="13.88671875" bestFit="1" customWidth="1"/>
    <col min="9" max="9" width="12.332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1005221431</v>
      </c>
      <c r="C2" s="2">
        <v>4.2</v>
      </c>
      <c r="D2" s="2">
        <v>0</v>
      </c>
      <c r="E2" s="2">
        <v>0</v>
      </c>
      <c r="F2" s="2">
        <v>0</v>
      </c>
      <c r="G2" s="2">
        <v>4</v>
      </c>
      <c r="H2" s="2">
        <v>0</v>
      </c>
      <c r="I2" s="2" t="s">
        <v>10</v>
      </c>
    </row>
    <row r="3" spans="1:9" x14ac:dyDescent="0.25">
      <c r="A3" s="2" t="s">
        <v>11</v>
      </c>
      <c r="B3" s="2">
        <v>1097183668</v>
      </c>
      <c r="C3" s="2">
        <v>4.5</v>
      </c>
      <c r="D3" s="2">
        <v>0</v>
      </c>
      <c r="E3" s="2">
        <v>1</v>
      </c>
      <c r="F3" s="2">
        <v>0</v>
      </c>
      <c r="G3" s="2">
        <v>0</v>
      </c>
      <c r="H3" s="2">
        <v>2</v>
      </c>
      <c r="I3" s="2" t="s">
        <v>10</v>
      </c>
    </row>
    <row r="4" spans="1:9" s="3" customFormat="1" x14ac:dyDescent="0.25">
      <c r="A4" s="3" t="s">
        <v>12</v>
      </c>
      <c r="B4" s="3">
        <v>1097184508</v>
      </c>
      <c r="C4" s="3">
        <v>2.8</v>
      </c>
      <c r="D4" s="3">
        <v>0</v>
      </c>
      <c r="E4" s="3">
        <v>3</v>
      </c>
      <c r="F4" s="3">
        <v>2</v>
      </c>
      <c r="G4" s="3">
        <v>2</v>
      </c>
      <c r="H4" s="3">
        <v>2</v>
      </c>
      <c r="I4" s="3" t="s">
        <v>13</v>
      </c>
    </row>
    <row r="5" spans="1:9" x14ac:dyDescent="0.25">
      <c r="A5" s="2" t="s">
        <v>14</v>
      </c>
      <c r="B5" s="2">
        <v>1102373572</v>
      </c>
      <c r="C5" s="2">
        <v>4.2</v>
      </c>
      <c r="D5" s="2">
        <v>0</v>
      </c>
      <c r="E5" s="2">
        <v>0</v>
      </c>
      <c r="F5" s="2">
        <v>0</v>
      </c>
      <c r="G5" s="2">
        <v>3</v>
      </c>
      <c r="H5" s="2">
        <v>2</v>
      </c>
      <c r="I5" s="2" t="s">
        <v>10</v>
      </c>
    </row>
    <row r="6" spans="1:9" x14ac:dyDescent="0.25">
      <c r="A6" s="2" t="s">
        <v>15</v>
      </c>
      <c r="B6" s="2">
        <v>1096200627</v>
      </c>
      <c r="C6" s="2">
        <v>4.5999999999999996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 t="s">
        <v>10</v>
      </c>
    </row>
    <row r="7" spans="1:9" x14ac:dyDescent="0.25">
      <c r="A7" s="2" t="s">
        <v>16</v>
      </c>
      <c r="B7" s="2">
        <v>1005186689</v>
      </c>
      <c r="C7" s="2">
        <v>4.2</v>
      </c>
      <c r="D7" s="2">
        <v>0</v>
      </c>
      <c r="E7" s="2">
        <v>1</v>
      </c>
      <c r="F7" s="2">
        <v>0</v>
      </c>
      <c r="G7" s="2">
        <v>2</v>
      </c>
      <c r="H7" s="2">
        <v>2</v>
      </c>
      <c r="I7" s="2" t="s">
        <v>10</v>
      </c>
    </row>
    <row r="8" spans="1:9" x14ac:dyDescent="0.25">
      <c r="A8" s="2" t="s">
        <v>17</v>
      </c>
      <c r="B8" s="2">
        <v>1051634775</v>
      </c>
      <c r="C8" s="2">
        <v>4</v>
      </c>
      <c r="D8" s="2">
        <v>0</v>
      </c>
      <c r="E8" s="2">
        <v>1</v>
      </c>
      <c r="F8" s="2">
        <v>0</v>
      </c>
      <c r="G8" s="2">
        <v>2</v>
      </c>
      <c r="H8" s="2">
        <v>3</v>
      </c>
      <c r="I8" s="2" t="s">
        <v>10</v>
      </c>
    </row>
    <row r="9" spans="1:9" x14ac:dyDescent="0.25">
      <c r="A9" s="2" t="s">
        <v>18</v>
      </c>
      <c r="B9" s="2">
        <v>1005462180</v>
      </c>
      <c r="C9" s="2">
        <v>3.7</v>
      </c>
      <c r="D9" s="2">
        <v>0</v>
      </c>
      <c r="E9" s="2">
        <v>2</v>
      </c>
      <c r="F9" s="2">
        <v>0</v>
      </c>
      <c r="G9" s="2">
        <v>4</v>
      </c>
      <c r="H9" s="2">
        <v>1</v>
      </c>
      <c r="I9" s="2" t="s">
        <v>10</v>
      </c>
    </row>
    <row r="10" spans="1:9" x14ac:dyDescent="0.25">
      <c r="A10" s="2" t="s">
        <v>19</v>
      </c>
      <c r="B10" s="2">
        <v>1097783299</v>
      </c>
      <c r="C10" s="2">
        <v>3.8</v>
      </c>
      <c r="D10" s="2">
        <v>0</v>
      </c>
      <c r="E10" s="2">
        <v>1</v>
      </c>
      <c r="F10" s="2">
        <v>2</v>
      </c>
      <c r="G10" s="2">
        <v>2</v>
      </c>
      <c r="H10" s="2">
        <v>1</v>
      </c>
      <c r="I10" s="2" t="s">
        <v>10</v>
      </c>
    </row>
    <row r="11" spans="1:9" x14ac:dyDescent="0.25">
      <c r="A11" s="2" t="s">
        <v>20</v>
      </c>
      <c r="B11" s="2">
        <v>1097183856</v>
      </c>
      <c r="C11" s="2">
        <v>3.3</v>
      </c>
      <c r="D11" s="2">
        <v>0</v>
      </c>
      <c r="E11" s="2">
        <v>2</v>
      </c>
      <c r="F11" s="2">
        <v>2</v>
      </c>
      <c r="G11" s="2">
        <v>4</v>
      </c>
      <c r="H11" s="2">
        <v>0</v>
      </c>
      <c r="I11" s="2" t="s">
        <v>10</v>
      </c>
    </row>
    <row r="12" spans="1:9" x14ac:dyDescent="0.25">
      <c r="A12" s="2" t="s">
        <v>21</v>
      </c>
      <c r="B12" s="2">
        <v>1096225235</v>
      </c>
      <c r="C12" s="2">
        <v>3.3</v>
      </c>
      <c r="D12" s="2">
        <v>0</v>
      </c>
      <c r="E12" s="2">
        <v>4</v>
      </c>
      <c r="F12" s="2">
        <v>2</v>
      </c>
      <c r="G12" s="2">
        <v>2</v>
      </c>
      <c r="H12" s="2">
        <v>0</v>
      </c>
      <c r="I12" s="2" t="s">
        <v>10</v>
      </c>
    </row>
    <row r="13" spans="1:9" s="3" customFormat="1" x14ac:dyDescent="0.25">
      <c r="A13" s="3" t="s">
        <v>22</v>
      </c>
      <c r="B13" s="3">
        <v>1039681626</v>
      </c>
      <c r="C13" s="3">
        <v>2.6</v>
      </c>
      <c r="D13" s="3">
        <v>0</v>
      </c>
      <c r="E13" s="3">
        <v>2</v>
      </c>
      <c r="F13" s="3">
        <v>5</v>
      </c>
      <c r="G13" s="3">
        <v>1</v>
      </c>
      <c r="H13" s="3">
        <v>0</v>
      </c>
      <c r="I13" s="3" t="s">
        <v>13</v>
      </c>
    </row>
    <row r="14" spans="1:9" s="3" customFormat="1" x14ac:dyDescent="0.25">
      <c r="A14" s="3" t="s">
        <v>23</v>
      </c>
      <c r="B14" s="3">
        <v>1051634628</v>
      </c>
      <c r="C14" s="3">
        <v>1.9</v>
      </c>
      <c r="D14" s="3">
        <v>1</v>
      </c>
      <c r="E14" s="3">
        <v>2</v>
      </c>
      <c r="F14" s="3">
        <v>2</v>
      </c>
      <c r="G14" s="3">
        <v>4</v>
      </c>
      <c r="H14" s="3">
        <v>5</v>
      </c>
      <c r="I14" s="3" t="s">
        <v>13</v>
      </c>
    </row>
    <row r="15" spans="1:9" x14ac:dyDescent="0.25">
      <c r="A15" s="2" t="s">
        <v>24</v>
      </c>
      <c r="B15" s="2">
        <v>1095800511</v>
      </c>
      <c r="C15" s="2">
        <v>3.6</v>
      </c>
      <c r="D15" s="2">
        <v>0</v>
      </c>
      <c r="E15" s="2">
        <v>1</v>
      </c>
      <c r="F15" s="2">
        <v>2</v>
      </c>
      <c r="G15" s="2">
        <v>2</v>
      </c>
      <c r="H15" s="2">
        <v>2</v>
      </c>
      <c r="I15" s="2" t="s">
        <v>10</v>
      </c>
    </row>
    <row r="16" spans="1:9" x14ac:dyDescent="0.25">
      <c r="A16" s="2" t="s">
        <v>25</v>
      </c>
      <c r="B16" s="2">
        <v>1052954359</v>
      </c>
      <c r="C16" s="2">
        <v>4.8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 t="s">
        <v>10</v>
      </c>
    </row>
    <row r="17" spans="1:9" x14ac:dyDescent="0.25">
      <c r="A17" s="2" t="s">
        <v>26</v>
      </c>
      <c r="B17" s="2">
        <v>1096246370</v>
      </c>
      <c r="C17" s="2">
        <v>4.3</v>
      </c>
      <c r="D17" s="2">
        <v>0</v>
      </c>
      <c r="E17" s="2">
        <v>0</v>
      </c>
      <c r="F17" s="2">
        <v>0</v>
      </c>
      <c r="G17" s="2">
        <v>2</v>
      </c>
      <c r="H17" s="2">
        <v>2</v>
      </c>
      <c r="I17" s="2" t="s">
        <v>10</v>
      </c>
    </row>
    <row r="18" spans="1:9" s="3" customFormat="1" x14ac:dyDescent="0.25">
      <c r="A18" s="3" t="s">
        <v>27</v>
      </c>
      <c r="B18" s="3">
        <v>1096802843</v>
      </c>
      <c r="C18" s="3">
        <v>1.4</v>
      </c>
      <c r="D18" s="3">
        <v>0</v>
      </c>
      <c r="E18" s="3">
        <v>3</v>
      </c>
      <c r="F18" s="3">
        <v>4</v>
      </c>
      <c r="G18" s="3">
        <v>4</v>
      </c>
      <c r="H18" s="3">
        <v>6</v>
      </c>
      <c r="I18" s="3" t="s">
        <v>13</v>
      </c>
    </row>
    <row r="19" spans="1:9" x14ac:dyDescent="0.25">
      <c r="A19" s="2" t="s">
        <v>28</v>
      </c>
      <c r="B19" s="2">
        <v>1096801641</v>
      </c>
      <c r="C19" s="2">
        <v>3.1</v>
      </c>
      <c r="D19" s="2">
        <v>0</v>
      </c>
      <c r="E19" s="2">
        <v>2</v>
      </c>
      <c r="F19" s="2">
        <v>0</v>
      </c>
      <c r="G19" s="2">
        <v>5</v>
      </c>
      <c r="H19" s="2">
        <v>4</v>
      </c>
      <c r="I19" s="2" t="s">
        <v>10</v>
      </c>
    </row>
    <row r="20" spans="1:9" x14ac:dyDescent="0.25">
      <c r="A20" s="2" t="s">
        <v>29</v>
      </c>
      <c r="B20" s="2">
        <v>1005185382</v>
      </c>
      <c r="C20" s="2">
        <v>3.9</v>
      </c>
      <c r="D20" s="2">
        <v>0</v>
      </c>
      <c r="E20" s="2">
        <v>3</v>
      </c>
      <c r="F20" s="2">
        <v>0</v>
      </c>
      <c r="G20" s="2">
        <v>0</v>
      </c>
      <c r="H20" s="2">
        <v>4</v>
      </c>
      <c r="I20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abSelected="1" workbookViewId="0">
      <pane ySplit="3" topLeftCell="A4" activePane="bottomLeft" state="frozen"/>
      <selection pane="bottomLeft" activeCell="A19" sqref="A19"/>
    </sheetView>
  </sheetViews>
  <sheetFormatPr baseColWidth="10" defaultColWidth="8.88671875" defaultRowHeight="13.2" x14ac:dyDescent="0.25"/>
  <cols>
    <col min="1" max="1" width="36" customWidth="1"/>
    <col min="2" max="2" width="18" hidden="1" customWidth="1"/>
    <col min="3" max="4" width="16" hidden="1" customWidth="1"/>
    <col min="5" max="5" width="14" hidden="1" customWidth="1"/>
    <col min="6" max="6" width="17" customWidth="1"/>
    <col min="7" max="7" width="14" customWidth="1"/>
    <col min="13" max="13" width="11.21875" bestFit="1" customWidth="1"/>
    <col min="14" max="16" width="0" hidden="1" customWidth="1"/>
    <col min="17" max="17" width="10.21875" bestFit="1" customWidth="1"/>
    <col min="18" max="18" width="12.88671875" bestFit="1" customWidth="1"/>
  </cols>
  <sheetData>
    <row r="1" spans="1:18" ht="28.05" customHeight="1" x14ac:dyDescent="0.25">
      <c r="A1" s="16"/>
      <c r="B1" s="16"/>
      <c r="C1" s="16"/>
      <c r="D1" s="16"/>
      <c r="E1" s="16"/>
      <c r="F1" s="16"/>
      <c r="G1" s="16"/>
    </row>
    <row r="2" spans="1:18" x14ac:dyDescent="0.25">
      <c r="B2" s="4" t="s">
        <v>31</v>
      </c>
      <c r="C2" s="4" t="s">
        <v>32</v>
      </c>
      <c r="D2" s="4" t="s">
        <v>33</v>
      </c>
    </row>
    <row r="3" spans="1:18" ht="30" customHeight="1" x14ac:dyDescent="0.25">
      <c r="A3" s="5" t="s">
        <v>0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8</v>
      </c>
      <c r="L3" s="5" t="s">
        <v>0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8</v>
      </c>
    </row>
    <row r="4" spans="1:18" x14ac:dyDescent="0.25">
      <c r="A4" s="12" t="s">
        <v>24</v>
      </c>
      <c r="B4" s="11">
        <v>1095800511</v>
      </c>
      <c r="C4" s="13">
        <v>3.6</v>
      </c>
      <c r="D4" s="8">
        <v>4.5</v>
      </c>
      <c r="E4" s="8">
        <v>4.5</v>
      </c>
      <c r="F4" s="9">
        <f>IF(AND(C4&lt;&gt;"",D4&lt;&gt;"",E4&lt;&gt;""),C4*0.6+D4*0.3+E4*0.1,"")</f>
        <v>3.96</v>
      </c>
      <c r="G4" s="14" t="str">
        <f>IF(F4="","",IF(F4&gt;=3,"APROBADO","REPROBADO"))</f>
        <v>APROBADO</v>
      </c>
      <c r="L4" s="12" t="s">
        <v>24</v>
      </c>
      <c r="M4" s="11">
        <v>1095800511</v>
      </c>
      <c r="N4" s="13">
        <v>3.6</v>
      </c>
      <c r="O4" s="8">
        <v>4.5</v>
      </c>
      <c r="P4" s="8">
        <v>4.5</v>
      </c>
      <c r="Q4" s="9">
        <f>IF(AND(N4&lt;&gt;"",O4&lt;&gt;"",P4&lt;&gt;""),N4*0.6+O4*0.3+P4*0.1,"")</f>
        <v>3.96</v>
      </c>
      <c r="R4" s="14" t="str">
        <f>IF(Q4="","",IF(Q4&gt;=3,"APROBADO","REPROBADO"))</f>
        <v>APROBADO</v>
      </c>
    </row>
    <row r="5" spans="1:18" x14ac:dyDescent="0.25">
      <c r="A5" s="12" t="s">
        <v>11</v>
      </c>
      <c r="B5" s="11">
        <v>1097183668</v>
      </c>
      <c r="C5" s="13">
        <v>4.5</v>
      </c>
      <c r="D5" s="8">
        <v>4.5</v>
      </c>
      <c r="E5" s="8">
        <v>4.5</v>
      </c>
      <c r="F5" s="9">
        <f>IF(AND(C5&lt;&gt;"",D5&lt;&gt;"",E5&lt;&gt;""),C5*0.6+D5*0.3+E5*0.1,"")</f>
        <v>4.5</v>
      </c>
      <c r="G5" s="14" t="str">
        <f>IF(F5="","",IF(F5&gt;=3,"APROBADO","REPROBADO"))</f>
        <v>APROBADO</v>
      </c>
      <c r="L5" s="12" t="s">
        <v>11</v>
      </c>
      <c r="M5" s="11">
        <v>1097183668</v>
      </c>
      <c r="N5" s="13">
        <v>4.5</v>
      </c>
      <c r="O5" s="8">
        <v>4.5</v>
      </c>
      <c r="P5" s="8">
        <v>4.5</v>
      </c>
      <c r="Q5" s="9">
        <f>IF(AND(N5&lt;&gt;"",O5&lt;&gt;"",P5&lt;&gt;""),N5*0.6+O5*0.3+P5*0.1,"")</f>
        <v>4.5</v>
      </c>
      <c r="R5" s="14" t="str">
        <f>IF(Q5="","",IF(Q5&gt;=3,"APROBADO","REPROBADO"))</f>
        <v>APROBADO</v>
      </c>
    </row>
    <row r="6" spans="1:18" x14ac:dyDescent="0.25">
      <c r="A6" s="12" t="s">
        <v>20</v>
      </c>
      <c r="B6" s="11">
        <v>1097183856</v>
      </c>
      <c r="C6" s="13">
        <v>3.3</v>
      </c>
      <c r="D6" s="8">
        <v>4.5</v>
      </c>
      <c r="E6" s="8">
        <v>4.5</v>
      </c>
      <c r="F6" s="9">
        <f>IF(AND(C6&lt;&gt;"",D6&lt;&gt;"",E6&lt;&gt;""),C6*0.6+D6*0.3+E6*0.1,"")</f>
        <v>3.78</v>
      </c>
      <c r="G6" s="14" t="str">
        <f>IF(F6="","",IF(F6&gt;=3,"APROBADO","REPROBADO"))</f>
        <v>APROBADO</v>
      </c>
      <c r="L6" s="12" t="s">
        <v>20</v>
      </c>
      <c r="M6" s="11">
        <v>1097183856</v>
      </c>
      <c r="N6" s="13">
        <v>3.3</v>
      </c>
      <c r="O6" s="8">
        <v>4.5</v>
      </c>
      <c r="P6" s="8">
        <v>4.5</v>
      </c>
      <c r="Q6" s="9">
        <f>IF(AND(N6&lt;&gt;"",O6&lt;&gt;"",P6&lt;&gt;""),N6*0.6+O6*0.3+P6*0.1,"")</f>
        <v>3.78</v>
      </c>
      <c r="R6" s="14" t="str">
        <f>IF(Q6="","",IF(Q6&gt;=3,"APROBADO","REPROBADO"))</f>
        <v>APROBADO</v>
      </c>
    </row>
    <row r="7" spans="1:18" x14ac:dyDescent="0.25">
      <c r="A7" s="7" t="s">
        <v>29</v>
      </c>
      <c r="B7" s="6">
        <v>1005185382</v>
      </c>
      <c r="C7" s="8">
        <v>3.9</v>
      </c>
      <c r="D7" s="8">
        <v>4.5</v>
      </c>
      <c r="E7" s="8">
        <v>4.5</v>
      </c>
      <c r="F7" s="9">
        <f>IF(AND(C7&lt;&gt;"",D7&lt;&gt;"",E7&lt;&gt;""),C7*0.6+D7*0.3+E7*0.1,"")</f>
        <v>4.1399999999999997</v>
      </c>
      <c r="G7" s="10" t="str">
        <f>IF(F7="","",IF(F7&gt;=3,"APROBADO","REPROBADO"))</f>
        <v>APROBADO</v>
      </c>
      <c r="L7" s="7" t="s">
        <v>29</v>
      </c>
      <c r="M7" s="6">
        <v>1005185382</v>
      </c>
      <c r="N7" s="8">
        <v>3.9</v>
      </c>
      <c r="O7" s="8">
        <v>4.5</v>
      </c>
      <c r="P7" s="8">
        <v>4.5</v>
      </c>
      <c r="Q7" s="9">
        <f>IF(AND(N7&lt;&gt;"",O7&lt;&gt;"",P7&lt;&gt;""),N7*0.6+O7*0.3+P7*0.1,"")</f>
        <v>4.1399999999999997</v>
      </c>
      <c r="R7" s="10" t="str">
        <f>IF(Q7="","",IF(Q7&gt;=3,"APROBADO","REPROBADO"))</f>
        <v>APROBADO</v>
      </c>
    </row>
    <row r="8" spans="1:18" x14ac:dyDescent="0.25">
      <c r="A8" s="7" t="s">
        <v>9</v>
      </c>
      <c r="B8" s="6">
        <v>1005221431</v>
      </c>
      <c r="C8" s="8">
        <v>4.2</v>
      </c>
      <c r="D8" s="8">
        <v>4.5</v>
      </c>
      <c r="E8" s="8">
        <v>4.5</v>
      </c>
      <c r="F8" s="9">
        <f>IF(AND(C8&lt;&gt;"",D8&lt;&gt;"",E8&lt;&gt;""),C8*0.6+D8*0.3+E8*0.1,"")</f>
        <v>4.32</v>
      </c>
      <c r="G8" s="10" t="str">
        <f>IF(F8="","",IF(F8&gt;=3,"APROBADO","REPROBADO"))</f>
        <v>APROBADO</v>
      </c>
      <c r="L8" s="7" t="s">
        <v>9</v>
      </c>
      <c r="M8" s="6">
        <v>1005221431</v>
      </c>
      <c r="N8" s="8">
        <v>4.2</v>
      </c>
      <c r="O8" s="8">
        <v>4.5</v>
      </c>
      <c r="P8" s="8">
        <v>4.5</v>
      </c>
      <c r="Q8" s="9">
        <f>IF(AND(N8&lt;&gt;"",O8&lt;&gt;"",P8&lt;&gt;""),N8*0.6+O8*0.3+P8*0.1,"")</f>
        <v>4.32</v>
      </c>
      <c r="R8" s="10" t="str">
        <f>IF(Q8="","",IF(Q8&gt;=3,"APROBADO","REPROBADO"))</f>
        <v>APROBADO</v>
      </c>
    </row>
    <row r="9" spans="1:18" x14ac:dyDescent="0.25">
      <c r="A9" s="12" t="s">
        <v>16</v>
      </c>
      <c r="B9" s="11">
        <v>1005186689</v>
      </c>
      <c r="C9" s="13">
        <v>4.2</v>
      </c>
      <c r="D9" s="8">
        <v>4.5</v>
      </c>
      <c r="E9" s="8">
        <v>4.5</v>
      </c>
      <c r="F9" s="9">
        <f>IF(AND(C9&lt;&gt;"",D9&lt;&gt;"",E9&lt;&gt;""),C9*0.6+D9*0.3+E9*0.1,"")</f>
        <v>4.32</v>
      </c>
      <c r="G9" s="14" t="str">
        <f>IF(F9="","",IF(F9&gt;=3,"APROBADO","REPROBADO"))</f>
        <v>APROBADO</v>
      </c>
      <c r="L9" s="12" t="s">
        <v>16</v>
      </c>
      <c r="M9" s="11">
        <v>1005186689</v>
      </c>
      <c r="N9" s="13">
        <v>4.2</v>
      </c>
      <c r="O9" s="8">
        <v>4.5</v>
      </c>
      <c r="P9" s="8">
        <v>4.5</v>
      </c>
      <c r="Q9" s="9">
        <f>IF(AND(N9&lt;&gt;"",O9&lt;&gt;"",P9&lt;&gt;""),N9*0.6+O9*0.3+P9*0.1,"")</f>
        <v>4.32</v>
      </c>
      <c r="R9" s="14" t="str">
        <f>IF(Q9="","",IF(Q9&gt;=3,"APROBADO","REPROBADO"))</f>
        <v>APROBADO</v>
      </c>
    </row>
    <row r="10" spans="1:18" x14ac:dyDescent="0.25">
      <c r="A10" s="12" t="s">
        <v>28</v>
      </c>
      <c r="B10" s="11">
        <v>1096801641</v>
      </c>
      <c r="C10" s="13">
        <v>3.1</v>
      </c>
      <c r="D10" s="8">
        <v>4.5</v>
      </c>
      <c r="E10" s="8">
        <v>4.5</v>
      </c>
      <c r="F10" s="9">
        <f>IF(AND(C10&lt;&gt;"",D10&lt;&gt;"",E10&lt;&gt;""),C10*0.6+D10*0.3+E10*0.1,"")</f>
        <v>3.66</v>
      </c>
      <c r="G10" s="14" t="str">
        <f>IF(F10="","",IF(F10&gt;=3,"APROBADO","REPROBADO"))</f>
        <v>APROBADO</v>
      </c>
      <c r="L10" s="12" t="s">
        <v>28</v>
      </c>
      <c r="M10" s="11">
        <v>1096801641</v>
      </c>
      <c r="N10" s="13">
        <v>3.1</v>
      </c>
      <c r="O10" s="8">
        <v>4.5</v>
      </c>
      <c r="P10" s="8">
        <v>4.5</v>
      </c>
      <c r="Q10" s="9">
        <f>IF(AND(N10&lt;&gt;"",O10&lt;&gt;"",P10&lt;&gt;""),N10*0.6+O10*0.3+P10*0.1,"")</f>
        <v>3.66</v>
      </c>
      <c r="R10" s="14" t="str">
        <f>IF(Q10="","",IF(Q10&gt;=3,"APROBADO","REPROBADO"))</f>
        <v>APROBADO</v>
      </c>
    </row>
    <row r="11" spans="1:18" x14ac:dyDescent="0.25">
      <c r="A11" s="7" t="s">
        <v>15</v>
      </c>
      <c r="B11" s="6">
        <v>1096200627</v>
      </c>
      <c r="C11" s="8">
        <v>4.5999999999999996</v>
      </c>
      <c r="D11" s="8">
        <v>4.5</v>
      </c>
      <c r="E11" s="8">
        <v>4.5</v>
      </c>
      <c r="F11" s="9">
        <f>IF(AND(C11&lt;&gt;"",D11&lt;&gt;"",E11&lt;&gt;""),C11*0.6+D11*0.3+E11*0.1,"")</f>
        <v>4.5599999999999996</v>
      </c>
      <c r="G11" s="10" t="str">
        <f>IF(F11="","",IF(F11&gt;=3,"APROBADO","REPROBADO"))</f>
        <v>APROBADO</v>
      </c>
      <c r="L11" s="7" t="s">
        <v>15</v>
      </c>
      <c r="M11" s="6">
        <v>1096200627</v>
      </c>
      <c r="N11" s="8">
        <v>4.5999999999999996</v>
      </c>
      <c r="O11" s="8">
        <v>4.5</v>
      </c>
      <c r="P11" s="8">
        <v>4.5</v>
      </c>
      <c r="Q11" s="9">
        <f>IF(AND(N11&lt;&gt;"",O11&lt;&gt;"",P11&lt;&gt;""),N11*0.6+O11*0.3+P11*0.1,"")</f>
        <v>4.5599999999999996</v>
      </c>
      <c r="R11" s="10" t="str">
        <f>IF(Q11="","",IF(Q11&gt;=3,"APROBADO","REPROBADO"))</f>
        <v>APROBADO</v>
      </c>
    </row>
    <row r="12" spans="1:18" x14ac:dyDescent="0.25">
      <c r="A12" s="7" t="s">
        <v>27</v>
      </c>
      <c r="B12" s="6">
        <v>1096802843</v>
      </c>
      <c r="C12" s="8">
        <v>1.4</v>
      </c>
      <c r="D12" s="8">
        <v>4.5</v>
      </c>
      <c r="E12" s="8">
        <v>4.5</v>
      </c>
      <c r="F12" s="9">
        <f>IF(AND(C12&lt;&gt;"",D12&lt;&gt;"",E12&lt;&gt;""),C12*0.6+D12*0.3+E12*0.1,"")</f>
        <v>2.64</v>
      </c>
      <c r="G12" s="10" t="str">
        <f>IF(F12="","",IF(F12&gt;=3,"APROBADO","REPROBADO"))</f>
        <v>REPROBADO</v>
      </c>
      <c r="L12" s="7" t="s">
        <v>27</v>
      </c>
      <c r="M12" s="6">
        <v>1096802843</v>
      </c>
      <c r="N12" s="8">
        <v>1.4</v>
      </c>
      <c r="O12" s="8">
        <v>4.5</v>
      </c>
      <c r="P12" s="8">
        <v>4.5</v>
      </c>
      <c r="Q12" s="9">
        <f>IF(AND(N12&lt;&gt;"",O12&lt;&gt;"",P12&lt;&gt;""),N12*0.6+O12*0.3+P12*0.1,"")</f>
        <v>2.64</v>
      </c>
      <c r="R12" s="10" t="str">
        <f>IF(Q12="","",IF(Q12&gt;=3,"APROBADO","REPROBADO"))</f>
        <v>REPROBADO</v>
      </c>
    </row>
    <row r="13" spans="1:18" x14ac:dyDescent="0.25">
      <c r="A13" s="7" t="s">
        <v>17</v>
      </c>
      <c r="B13" s="6">
        <v>1051634775</v>
      </c>
      <c r="C13" s="8">
        <v>4</v>
      </c>
      <c r="D13" s="8">
        <v>4.5</v>
      </c>
      <c r="E13" s="8">
        <v>4.5</v>
      </c>
      <c r="F13" s="9">
        <f>IF(AND(C13&lt;&gt;"",D13&lt;&gt;"",E13&lt;&gt;""),C13*0.6+D13*0.3+E13*0.1,"")</f>
        <v>4.2</v>
      </c>
      <c r="G13" s="10" t="str">
        <f>IF(F13="","",IF(F13&gt;=3,"APROBADO","REPROBADO"))</f>
        <v>APROBADO</v>
      </c>
      <c r="L13" s="7" t="s">
        <v>17</v>
      </c>
      <c r="M13" s="6">
        <v>1051634775</v>
      </c>
      <c r="N13" s="8">
        <v>4</v>
      </c>
      <c r="O13" s="8">
        <v>4.5</v>
      </c>
      <c r="P13" s="8">
        <v>4.5</v>
      </c>
      <c r="Q13" s="9">
        <f>IF(AND(N13&lt;&gt;"",O13&lt;&gt;"",P13&lt;&gt;""),N13*0.6+O13*0.3+P13*0.1,"")</f>
        <v>4.2</v>
      </c>
      <c r="R13" s="10" t="str">
        <f>IF(Q13="","",IF(Q13&gt;=3,"APROBADO","REPROBADO"))</f>
        <v>APROBADO</v>
      </c>
    </row>
    <row r="14" spans="1:18" x14ac:dyDescent="0.25">
      <c r="A14" s="12" t="s">
        <v>26</v>
      </c>
      <c r="B14" s="11">
        <v>1096246370</v>
      </c>
      <c r="C14" s="13">
        <v>4.3</v>
      </c>
      <c r="D14" s="8">
        <v>4.5</v>
      </c>
      <c r="E14" s="8">
        <v>4.5</v>
      </c>
      <c r="F14" s="9">
        <f>IF(AND(C14&lt;&gt;"",D14&lt;&gt;"",E14&lt;&gt;""),C14*0.6+D14*0.3+E14*0.1,"")</f>
        <v>4.38</v>
      </c>
      <c r="G14" s="14" t="str">
        <f>IF(F14="","",IF(F14&gt;=3,"APROBADO","REPROBADO"))</f>
        <v>APROBADO</v>
      </c>
      <c r="L14" s="12" t="s">
        <v>26</v>
      </c>
      <c r="M14" s="11">
        <v>1096246370</v>
      </c>
      <c r="N14" s="13">
        <v>4.3</v>
      </c>
      <c r="O14" s="8">
        <v>4.5</v>
      </c>
      <c r="P14" s="8">
        <v>4.5</v>
      </c>
      <c r="Q14" s="9">
        <f>IF(AND(N14&lt;&gt;"",O14&lt;&gt;"",P14&lt;&gt;""),N14*0.6+O14*0.3+P14*0.1,"")</f>
        <v>4.38</v>
      </c>
      <c r="R14" s="14" t="str">
        <f>IF(Q14="","",IF(Q14&gt;=3,"APROBADO","REPROBADO"))</f>
        <v>APROBADO</v>
      </c>
    </row>
    <row r="15" spans="1:18" x14ac:dyDescent="0.25">
      <c r="A15" s="7" t="s">
        <v>25</v>
      </c>
      <c r="B15" s="6">
        <v>1052954359</v>
      </c>
      <c r="C15" s="8">
        <v>4.8</v>
      </c>
      <c r="D15" s="8">
        <v>4.5</v>
      </c>
      <c r="E15" s="8">
        <v>4.5</v>
      </c>
      <c r="F15" s="9">
        <f>IF(AND(C15&lt;&gt;"",D15&lt;&gt;"",E15&lt;&gt;""),C15*0.6+D15*0.3+E15*0.1,"")</f>
        <v>4.68</v>
      </c>
      <c r="G15" s="10" t="str">
        <f>IF(F15="","",IF(F15&gt;=3,"APROBADO","REPROBADO"))</f>
        <v>APROBADO</v>
      </c>
      <c r="L15" s="7" t="s">
        <v>25</v>
      </c>
      <c r="M15" s="6">
        <v>1052954359</v>
      </c>
      <c r="N15" s="8">
        <v>4.8</v>
      </c>
      <c r="O15" s="8">
        <v>4.5</v>
      </c>
      <c r="P15" s="8">
        <v>4.5</v>
      </c>
      <c r="Q15" s="9">
        <f>IF(AND(N15&lt;&gt;"",O15&lt;&gt;"",P15&lt;&gt;""),N15*0.6+O15*0.3+P15*0.1,"")</f>
        <v>4.68</v>
      </c>
      <c r="R15" s="10" t="str">
        <f>IF(Q15="","",IF(Q15&gt;=3,"APROBADO","REPROBADO"))</f>
        <v>APROBADO</v>
      </c>
    </row>
    <row r="16" spans="1:18" x14ac:dyDescent="0.25">
      <c r="A16" s="12" t="s">
        <v>14</v>
      </c>
      <c r="B16" s="11">
        <v>1102373572</v>
      </c>
      <c r="C16" s="13">
        <v>4.2</v>
      </c>
      <c r="D16" s="8">
        <v>4.5</v>
      </c>
      <c r="E16" s="8">
        <v>4.5</v>
      </c>
      <c r="F16" s="9">
        <f>IF(AND(C16&lt;&gt;"",D16&lt;&gt;"",E16&lt;&gt;""),C16*0.6+D16*0.3+E16*0.1,"")</f>
        <v>4.32</v>
      </c>
      <c r="G16" s="14" t="str">
        <f>IF(F16="","",IF(F16&gt;=3,"APROBADO","REPROBADO"))</f>
        <v>APROBADO</v>
      </c>
      <c r="L16" s="12" t="s">
        <v>14</v>
      </c>
      <c r="M16" s="11">
        <v>1102373572</v>
      </c>
      <c r="N16" s="13">
        <v>4.2</v>
      </c>
      <c r="O16" s="8">
        <v>4.5</v>
      </c>
      <c r="P16" s="8">
        <v>4.5</v>
      </c>
      <c r="Q16" s="9">
        <f>IF(AND(N16&lt;&gt;"",O16&lt;&gt;"",P16&lt;&gt;""),N16*0.6+O16*0.3+P16*0.1,"")</f>
        <v>4.32</v>
      </c>
      <c r="R16" s="14" t="str">
        <f>IF(Q16="","",IF(Q16&gt;=3,"APROBADO","REPROBADO"))</f>
        <v>APROBADO</v>
      </c>
    </row>
    <row r="17" spans="1:18" x14ac:dyDescent="0.25">
      <c r="A17" s="12" t="s">
        <v>18</v>
      </c>
      <c r="B17" s="11">
        <v>1005462180</v>
      </c>
      <c r="C17" s="13">
        <v>3.7</v>
      </c>
      <c r="D17" s="8">
        <v>4.5</v>
      </c>
      <c r="E17" s="8">
        <v>4.5</v>
      </c>
      <c r="F17" s="9">
        <f>IF(AND(C17&lt;&gt;"",D17&lt;&gt;"",E17&lt;&gt;""),C17*0.6+D17*0.3+E17*0.1,"")</f>
        <v>4.0200000000000005</v>
      </c>
      <c r="G17" s="14" t="str">
        <f>IF(F17="","",IF(F17&gt;=3,"APROBADO","REPROBADO"))</f>
        <v>APROBADO</v>
      </c>
      <c r="L17" s="12" t="s">
        <v>18</v>
      </c>
      <c r="M17" s="11">
        <v>1005462180</v>
      </c>
      <c r="N17" s="13">
        <v>3.7</v>
      </c>
      <c r="O17" s="8">
        <v>4.5</v>
      </c>
      <c r="P17" s="8">
        <v>4.5</v>
      </c>
      <c r="Q17" s="9">
        <f>IF(AND(N17&lt;&gt;"",O17&lt;&gt;"",P17&lt;&gt;""),N17*0.6+O17*0.3+P17*0.1,"")</f>
        <v>4.0200000000000005</v>
      </c>
      <c r="R17" s="14" t="str">
        <f>IF(Q17="","",IF(Q17&gt;=3,"APROBADO","REPROBADO"))</f>
        <v>APROBADO</v>
      </c>
    </row>
    <row r="18" spans="1:18" x14ac:dyDescent="0.25">
      <c r="A18" s="7" t="s">
        <v>23</v>
      </c>
      <c r="B18" s="6">
        <v>1051634628</v>
      </c>
      <c r="C18" s="8">
        <v>1.9</v>
      </c>
      <c r="D18" s="8">
        <v>4.5</v>
      </c>
      <c r="E18" s="8">
        <v>4.5</v>
      </c>
      <c r="F18" s="9">
        <f>IF(AND(C18&lt;&gt;"",D18&lt;&gt;"",E18&lt;&gt;""),C18*0.6+D18*0.3+E18*0.1,"")</f>
        <v>2.94</v>
      </c>
      <c r="G18" s="10" t="str">
        <f>IF(F18="","",IF(F18&gt;=3,"APROBADO","REPROBADO"))</f>
        <v>REPROBADO</v>
      </c>
      <c r="L18" s="7" t="s">
        <v>23</v>
      </c>
      <c r="M18" s="6">
        <v>1051634628</v>
      </c>
      <c r="N18" s="8">
        <v>1.9</v>
      </c>
      <c r="O18" s="8">
        <v>4.5</v>
      </c>
      <c r="P18" s="8">
        <v>4.5</v>
      </c>
      <c r="Q18" s="9">
        <f>IF(AND(N18&lt;&gt;"",O18&lt;&gt;"",P18&lt;&gt;""),N18*0.6+O18*0.3+P18*0.1,"")</f>
        <v>2.94</v>
      </c>
      <c r="R18" s="10" t="str">
        <f>IF(Q18="","",IF(Q18&gt;=3,"APROBADO","REPROBADO"))</f>
        <v>REPROBADO</v>
      </c>
    </row>
    <row r="19" spans="1:18" x14ac:dyDescent="0.25">
      <c r="A19" s="7" t="s">
        <v>19</v>
      </c>
      <c r="B19" s="6">
        <v>1097783299</v>
      </c>
      <c r="C19" s="8">
        <v>3.8</v>
      </c>
      <c r="D19" s="8">
        <v>4.5</v>
      </c>
      <c r="E19" s="8">
        <v>4.5</v>
      </c>
      <c r="F19" s="9">
        <f>IF(AND(C19&lt;&gt;"",D19&lt;&gt;"",E19&lt;&gt;""),C19*0.6+D19*0.3+E19*0.1,"")</f>
        <v>4.08</v>
      </c>
      <c r="G19" s="10" t="str">
        <f>IF(F19="","",IF(F19&gt;=3,"APROBADO","REPROBADO"))</f>
        <v>APROBADO</v>
      </c>
      <c r="L19" s="7" t="s">
        <v>19</v>
      </c>
      <c r="M19" s="6">
        <v>1097783299</v>
      </c>
      <c r="N19" s="8">
        <v>3.8</v>
      </c>
      <c r="O19" s="8">
        <v>4.5</v>
      </c>
      <c r="P19" s="8">
        <v>4.5</v>
      </c>
      <c r="Q19" s="9">
        <f>IF(AND(N19&lt;&gt;"",O19&lt;&gt;"",P19&lt;&gt;""),N19*0.6+O19*0.3+P19*0.1,"")</f>
        <v>4.08</v>
      </c>
      <c r="R19" s="10" t="str">
        <f>IF(Q19="","",IF(Q19&gt;=3,"APROBADO","REPROBADO"))</f>
        <v>APROBADO</v>
      </c>
    </row>
    <row r="20" spans="1:18" x14ac:dyDescent="0.25">
      <c r="A20" s="12" t="s">
        <v>22</v>
      </c>
      <c r="B20" s="11">
        <v>1039681626</v>
      </c>
      <c r="C20" s="13">
        <v>2.6</v>
      </c>
      <c r="D20" s="8">
        <v>4.5</v>
      </c>
      <c r="E20" s="8">
        <v>4.5</v>
      </c>
      <c r="F20" s="9">
        <f>IF(AND(C20&lt;&gt;"",D20&lt;&gt;"",E20&lt;&gt;""),C20*0.6+D20*0.3+E20*0.1,"")</f>
        <v>3.3600000000000003</v>
      </c>
      <c r="G20" s="14" t="str">
        <f>IF(F20="","",IF(F20&gt;=3,"APROBADO","REPROBADO"))</f>
        <v>APROBADO</v>
      </c>
      <c r="L20" s="12" t="s">
        <v>22</v>
      </c>
      <c r="M20" s="11">
        <v>1039681626</v>
      </c>
      <c r="N20" s="13">
        <v>2.6</v>
      </c>
      <c r="O20" s="8">
        <v>4.5</v>
      </c>
      <c r="P20" s="8">
        <v>4.5</v>
      </c>
      <c r="Q20" s="9">
        <f>IF(AND(N20&lt;&gt;"",O20&lt;&gt;"",P20&lt;&gt;""),N20*0.6+O20*0.3+P20*0.1,"")</f>
        <v>3.3600000000000003</v>
      </c>
      <c r="R20" s="14" t="str">
        <f>IF(Q20="","",IF(Q20&gt;=3,"APROBADO","REPROBADO"))</f>
        <v>APROBADO</v>
      </c>
    </row>
    <row r="21" spans="1:18" x14ac:dyDescent="0.25">
      <c r="A21" s="7" t="s">
        <v>12</v>
      </c>
      <c r="B21" s="6">
        <v>1097184508</v>
      </c>
      <c r="C21" s="8">
        <v>2.8</v>
      </c>
      <c r="D21" s="8">
        <v>4.5</v>
      </c>
      <c r="E21" s="8">
        <v>4.5</v>
      </c>
      <c r="F21" s="9">
        <f>IF(AND(C21&lt;&gt;"",D21&lt;&gt;"",E21&lt;&gt;""),C21*0.6+D21*0.3+E21*0.1,"")</f>
        <v>3.48</v>
      </c>
      <c r="G21" s="10" t="str">
        <f>IF(F21="","",IF(F21&gt;=3,"APROBADO","REPROBADO"))</f>
        <v>APROBADO</v>
      </c>
      <c r="L21" s="7" t="s">
        <v>12</v>
      </c>
      <c r="M21" s="6">
        <v>1097184508</v>
      </c>
      <c r="N21" s="8">
        <v>2.8</v>
      </c>
      <c r="O21" s="8">
        <v>4.5</v>
      </c>
      <c r="P21" s="8">
        <v>4.5</v>
      </c>
      <c r="Q21" s="9">
        <f>IF(AND(N21&lt;&gt;"",O21&lt;&gt;"",P21&lt;&gt;""),N21*0.6+O21*0.3+P21*0.1,"")</f>
        <v>3.48</v>
      </c>
      <c r="R21" s="10" t="str">
        <f>IF(Q21="","",IF(Q21&gt;=3,"APROBADO","REPROBADO"))</f>
        <v>APROBADO</v>
      </c>
    </row>
    <row r="22" spans="1:18" x14ac:dyDescent="0.25">
      <c r="A22" s="7" t="s">
        <v>21</v>
      </c>
      <c r="B22" s="6">
        <v>1096225235</v>
      </c>
      <c r="C22" s="8">
        <v>3.3</v>
      </c>
      <c r="D22" s="8">
        <v>4.5</v>
      </c>
      <c r="E22" s="8">
        <v>4.5</v>
      </c>
      <c r="F22" s="9">
        <f>IF(AND(C22&lt;&gt;"",D22&lt;&gt;"",E22&lt;&gt;""),C22*0.6+D22*0.3+E22*0.1,"")</f>
        <v>3.78</v>
      </c>
      <c r="G22" s="10" t="str">
        <f>IF(F22="","",IF(F22&gt;=3,"APROBADO","REPROBADO"))</f>
        <v>APROBADO</v>
      </c>
      <c r="L22" s="7" t="s">
        <v>21</v>
      </c>
      <c r="M22" s="6">
        <v>1096225235</v>
      </c>
      <c r="N22" s="8">
        <v>3.3</v>
      </c>
      <c r="O22" s="8">
        <v>4.5</v>
      </c>
      <c r="P22" s="8">
        <v>4.5</v>
      </c>
      <c r="Q22" s="9">
        <f>IF(AND(N22&lt;&gt;"",O22&lt;&gt;"",P22&lt;&gt;""),N22*0.6+O22*0.3+P22*0.1,"")</f>
        <v>3.78</v>
      </c>
      <c r="R22" s="10" t="str">
        <f>IF(Q22="","",IF(Q22&gt;=3,"APROBADO","REPROBADO"))</f>
        <v>APROBADO</v>
      </c>
    </row>
  </sheetData>
  <sortState xmlns:xlrd2="http://schemas.microsoft.com/office/spreadsheetml/2017/richdata2" ref="A4:G22">
    <sortCondition ref="A3:A22"/>
  </sortState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pane ySplit="3" topLeftCell="A4" activePane="bottomLeft" state="frozen"/>
      <selection pane="bottomLeft" sqref="A1:H1"/>
    </sheetView>
  </sheetViews>
  <sheetFormatPr baseColWidth="10" defaultColWidth="8.88671875" defaultRowHeight="13.2" x14ac:dyDescent="0.25"/>
  <cols>
    <col min="1" max="1" width="5" customWidth="1"/>
    <col min="2" max="2" width="36" customWidth="1"/>
    <col min="3" max="3" width="18" customWidth="1"/>
    <col min="4" max="5" width="16" customWidth="1"/>
    <col min="6" max="6" width="14" customWidth="1"/>
    <col min="7" max="7" width="17" customWidth="1"/>
    <col min="8" max="8" width="14" customWidth="1"/>
  </cols>
  <sheetData>
    <row r="1" spans="1:8" ht="28.05" customHeight="1" x14ac:dyDescent="0.25">
      <c r="A1" s="17" t="s">
        <v>40</v>
      </c>
      <c r="B1" s="16"/>
      <c r="C1" s="16"/>
      <c r="D1" s="16"/>
      <c r="E1" s="16"/>
      <c r="F1" s="16"/>
      <c r="G1" s="16"/>
      <c r="H1" s="16"/>
    </row>
    <row r="2" spans="1:8" x14ac:dyDescent="0.25">
      <c r="A2" s="15" t="s">
        <v>30</v>
      </c>
      <c r="B2" s="16"/>
      <c r="C2" s="4" t="s">
        <v>31</v>
      </c>
      <c r="D2" s="4" t="s">
        <v>32</v>
      </c>
      <c r="E2" s="4" t="s">
        <v>33</v>
      </c>
    </row>
    <row r="3" spans="1:8" ht="30" customHeight="1" x14ac:dyDescent="0.25">
      <c r="A3" s="5" t="s">
        <v>34</v>
      </c>
      <c r="B3" s="5" t="s">
        <v>0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8</v>
      </c>
    </row>
    <row r="4" spans="1:8" x14ac:dyDescent="0.25">
      <c r="A4" s="6">
        <v>1</v>
      </c>
      <c r="B4" s="7" t="s">
        <v>9</v>
      </c>
      <c r="C4" s="6">
        <v>1005221431</v>
      </c>
      <c r="D4" s="8"/>
      <c r="E4" s="8"/>
      <c r="F4" s="8"/>
      <c r="G4" s="9" t="str">
        <f t="shared" ref="G4:G22" si="0">IF(AND(D4&lt;&gt;"",E4&lt;&gt;"",F4&lt;&gt;""),D4*0.6+E4*0.3+F4*0.1,"")</f>
        <v/>
      </c>
      <c r="H4" s="10" t="str">
        <f t="shared" ref="H4:H22" si="1">IF(G4="","",IF(G4&gt;=3,"APROBADO","REPROBADO"))</f>
        <v/>
      </c>
    </row>
    <row r="5" spans="1:8" x14ac:dyDescent="0.25">
      <c r="A5" s="11">
        <v>2</v>
      </c>
      <c r="B5" s="12" t="s">
        <v>11</v>
      </c>
      <c r="C5" s="11">
        <v>1097183668</v>
      </c>
      <c r="D5" s="13"/>
      <c r="E5" s="13"/>
      <c r="F5" s="13"/>
      <c r="G5" s="9" t="str">
        <f t="shared" si="0"/>
        <v/>
      </c>
      <c r="H5" s="14" t="str">
        <f t="shared" si="1"/>
        <v/>
      </c>
    </row>
    <row r="6" spans="1:8" x14ac:dyDescent="0.25">
      <c r="A6" s="6">
        <v>3</v>
      </c>
      <c r="B6" s="7" t="s">
        <v>12</v>
      </c>
      <c r="C6" s="6">
        <v>1097184508</v>
      </c>
      <c r="D6" s="8"/>
      <c r="E6" s="8"/>
      <c r="F6" s="8"/>
      <c r="G6" s="9" t="str">
        <f t="shared" si="0"/>
        <v/>
      </c>
      <c r="H6" s="10" t="str">
        <f t="shared" si="1"/>
        <v/>
      </c>
    </row>
    <row r="7" spans="1:8" x14ac:dyDescent="0.25">
      <c r="A7" s="11">
        <v>4</v>
      </c>
      <c r="B7" s="12" t="s">
        <v>14</v>
      </c>
      <c r="C7" s="11">
        <v>1102373572</v>
      </c>
      <c r="D7" s="13"/>
      <c r="E7" s="13"/>
      <c r="F7" s="13"/>
      <c r="G7" s="9" t="str">
        <f t="shared" si="0"/>
        <v/>
      </c>
      <c r="H7" s="14" t="str">
        <f t="shared" si="1"/>
        <v/>
      </c>
    </row>
    <row r="8" spans="1:8" x14ac:dyDescent="0.25">
      <c r="A8" s="6">
        <v>5</v>
      </c>
      <c r="B8" s="7" t="s">
        <v>15</v>
      </c>
      <c r="C8" s="6">
        <v>1096200627</v>
      </c>
      <c r="D8" s="8"/>
      <c r="E8" s="8"/>
      <c r="F8" s="8"/>
      <c r="G8" s="9" t="str">
        <f t="shared" si="0"/>
        <v/>
      </c>
      <c r="H8" s="10" t="str">
        <f t="shared" si="1"/>
        <v/>
      </c>
    </row>
    <row r="9" spans="1:8" x14ac:dyDescent="0.25">
      <c r="A9" s="11">
        <v>6</v>
      </c>
      <c r="B9" s="12" t="s">
        <v>16</v>
      </c>
      <c r="C9" s="11">
        <v>1005186689</v>
      </c>
      <c r="D9" s="13"/>
      <c r="E9" s="13"/>
      <c r="F9" s="13"/>
      <c r="G9" s="9" t="str">
        <f t="shared" si="0"/>
        <v/>
      </c>
      <c r="H9" s="14" t="str">
        <f t="shared" si="1"/>
        <v/>
      </c>
    </row>
    <row r="10" spans="1:8" x14ac:dyDescent="0.25">
      <c r="A10" s="6">
        <v>7</v>
      </c>
      <c r="B10" s="7" t="s">
        <v>17</v>
      </c>
      <c r="C10" s="6">
        <v>1051634775</v>
      </c>
      <c r="D10" s="8"/>
      <c r="E10" s="8"/>
      <c r="F10" s="8"/>
      <c r="G10" s="9" t="str">
        <f t="shared" si="0"/>
        <v/>
      </c>
      <c r="H10" s="10" t="str">
        <f t="shared" si="1"/>
        <v/>
      </c>
    </row>
    <row r="11" spans="1:8" x14ac:dyDescent="0.25">
      <c r="A11" s="11">
        <v>8</v>
      </c>
      <c r="B11" s="12" t="s">
        <v>18</v>
      </c>
      <c r="C11" s="11">
        <v>1005462180</v>
      </c>
      <c r="D11" s="13"/>
      <c r="E11" s="13"/>
      <c r="F11" s="13"/>
      <c r="G11" s="9" t="str">
        <f t="shared" si="0"/>
        <v/>
      </c>
      <c r="H11" s="14" t="str">
        <f t="shared" si="1"/>
        <v/>
      </c>
    </row>
    <row r="12" spans="1:8" x14ac:dyDescent="0.25">
      <c r="A12" s="6">
        <v>9</v>
      </c>
      <c r="B12" s="7" t="s">
        <v>19</v>
      </c>
      <c r="C12" s="6">
        <v>1097783299</v>
      </c>
      <c r="D12" s="8"/>
      <c r="E12" s="8"/>
      <c r="F12" s="8"/>
      <c r="G12" s="9" t="str">
        <f t="shared" si="0"/>
        <v/>
      </c>
      <c r="H12" s="10" t="str">
        <f t="shared" si="1"/>
        <v/>
      </c>
    </row>
    <row r="13" spans="1:8" x14ac:dyDescent="0.25">
      <c r="A13" s="11">
        <v>10</v>
      </c>
      <c r="B13" s="12" t="s">
        <v>20</v>
      </c>
      <c r="C13" s="11">
        <v>1097183856</v>
      </c>
      <c r="D13" s="13"/>
      <c r="E13" s="13"/>
      <c r="F13" s="13"/>
      <c r="G13" s="9" t="str">
        <f t="shared" si="0"/>
        <v/>
      </c>
      <c r="H13" s="14" t="str">
        <f t="shared" si="1"/>
        <v/>
      </c>
    </row>
    <row r="14" spans="1:8" x14ac:dyDescent="0.25">
      <c r="A14" s="6">
        <v>11</v>
      </c>
      <c r="B14" s="7" t="s">
        <v>21</v>
      </c>
      <c r="C14" s="6">
        <v>1096225235</v>
      </c>
      <c r="D14" s="8"/>
      <c r="E14" s="8"/>
      <c r="F14" s="8"/>
      <c r="G14" s="9" t="str">
        <f t="shared" si="0"/>
        <v/>
      </c>
      <c r="H14" s="10" t="str">
        <f t="shared" si="1"/>
        <v/>
      </c>
    </row>
    <row r="15" spans="1:8" x14ac:dyDescent="0.25">
      <c r="A15" s="11">
        <v>12</v>
      </c>
      <c r="B15" s="12" t="s">
        <v>22</v>
      </c>
      <c r="C15" s="11">
        <v>1039681626</v>
      </c>
      <c r="D15" s="13"/>
      <c r="E15" s="13"/>
      <c r="F15" s="13"/>
      <c r="G15" s="9" t="str">
        <f t="shared" si="0"/>
        <v/>
      </c>
      <c r="H15" s="14" t="str">
        <f t="shared" si="1"/>
        <v/>
      </c>
    </row>
    <row r="16" spans="1:8" x14ac:dyDescent="0.25">
      <c r="A16" s="6">
        <v>13</v>
      </c>
      <c r="B16" s="7" t="s">
        <v>23</v>
      </c>
      <c r="C16" s="6">
        <v>1051634628</v>
      </c>
      <c r="D16" s="8"/>
      <c r="E16" s="8"/>
      <c r="F16" s="8"/>
      <c r="G16" s="9" t="str">
        <f t="shared" si="0"/>
        <v/>
      </c>
      <c r="H16" s="10" t="str">
        <f t="shared" si="1"/>
        <v/>
      </c>
    </row>
    <row r="17" spans="1:8" x14ac:dyDescent="0.25">
      <c r="A17" s="11">
        <v>14</v>
      </c>
      <c r="B17" s="12" t="s">
        <v>24</v>
      </c>
      <c r="C17" s="11">
        <v>1095800511</v>
      </c>
      <c r="D17" s="13"/>
      <c r="E17" s="13"/>
      <c r="F17" s="13"/>
      <c r="G17" s="9" t="str">
        <f t="shared" si="0"/>
        <v/>
      </c>
      <c r="H17" s="14" t="str">
        <f t="shared" si="1"/>
        <v/>
      </c>
    </row>
    <row r="18" spans="1:8" x14ac:dyDescent="0.25">
      <c r="A18" s="6">
        <v>15</v>
      </c>
      <c r="B18" s="7" t="s">
        <v>25</v>
      </c>
      <c r="C18" s="6">
        <v>1052954359</v>
      </c>
      <c r="D18" s="8"/>
      <c r="E18" s="8"/>
      <c r="F18" s="8"/>
      <c r="G18" s="9" t="str">
        <f t="shared" si="0"/>
        <v/>
      </c>
      <c r="H18" s="10" t="str">
        <f t="shared" si="1"/>
        <v/>
      </c>
    </row>
    <row r="19" spans="1:8" x14ac:dyDescent="0.25">
      <c r="A19" s="11">
        <v>16</v>
      </c>
      <c r="B19" s="12" t="s">
        <v>26</v>
      </c>
      <c r="C19" s="11">
        <v>1096246370</v>
      </c>
      <c r="D19" s="13"/>
      <c r="E19" s="13"/>
      <c r="F19" s="13"/>
      <c r="G19" s="9" t="str">
        <f t="shared" si="0"/>
        <v/>
      </c>
      <c r="H19" s="14" t="str">
        <f t="shared" si="1"/>
        <v/>
      </c>
    </row>
    <row r="20" spans="1:8" x14ac:dyDescent="0.25">
      <c r="A20" s="6">
        <v>17</v>
      </c>
      <c r="B20" s="7" t="s">
        <v>27</v>
      </c>
      <c r="C20" s="6">
        <v>1096802843</v>
      </c>
      <c r="D20" s="8"/>
      <c r="E20" s="8"/>
      <c r="F20" s="8"/>
      <c r="G20" s="9" t="str">
        <f t="shared" si="0"/>
        <v/>
      </c>
      <c r="H20" s="10" t="str">
        <f t="shared" si="1"/>
        <v/>
      </c>
    </row>
    <row r="21" spans="1:8" x14ac:dyDescent="0.25">
      <c r="A21" s="11">
        <v>18</v>
      </c>
      <c r="B21" s="12" t="s">
        <v>28</v>
      </c>
      <c r="C21" s="11">
        <v>1096801641</v>
      </c>
      <c r="D21" s="13"/>
      <c r="E21" s="13"/>
      <c r="F21" s="13"/>
      <c r="G21" s="9" t="str">
        <f t="shared" si="0"/>
        <v/>
      </c>
      <c r="H21" s="14" t="str">
        <f t="shared" si="1"/>
        <v/>
      </c>
    </row>
    <row r="22" spans="1:8" x14ac:dyDescent="0.25">
      <c r="A22" s="6">
        <v>19</v>
      </c>
      <c r="B22" s="7" t="s">
        <v>29</v>
      </c>
      <c r="C22" s="6">
        <v>1005185382</v>
      </c>
      <c r="D22" s="8"/>
      <c r="E22" s="8"/>
      <c r="F22" s="8"/>
      <c r="G22" s="9" t="str">
        <f t="shared" si="0"/>
        <v/>
      </c>
      <c r="H22" s="10" t="str">
        <f t="shared" si="1"/>
        <v/>
      </c>
    </row>
  </sheetData>
  <mergeCells count="2">
    <mergeCell ref="A2:B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ySplit="3" topLeftCell="A4" activePane="bottomLeft" state="frozen"/>
      <selection pane="bottomLeft" sqref="A1:H1"/>
    </sheetView>
  </sheetViews>
  <sheetFormatPr baseColWidth="10" defaultColWidth="8.88671875" defaultRowHeight="13.2" x14ac:dyDescent="0.25"/>
  <cols>
    <col min="1" max="1" width="5" customWidth="1"/>
    <col min="2" max="2" width="36" customWidth="1"/>
    <col min="3" max="3" width="18" customWidth="1"/>
    <col min="4" max="5" width="16" customWidth="1"/>
    <col min="6" max="6" width="14" customWidth="1"/>
    <col min="7" max="7" width="17" customWidth="1"/>
    <col min="8" max="8" width="14" customWidth="1"/>
  </cols>
  <sheetData>
    <row r="1" spans="1:8" ht="28.05" customHeight="1" x14ac:dyDescent="0.25">
      <c r="A1" s="17" t="s">
        <v>41</v>
      </c>
      <c r="B1" s="16"/>
      <c r="C1" s="16"/>
      <c r="D1" s="16"/>
      <c r="E1" s="16"/>
      <c r="F1" s="16"/>
      <c r="G1" s="16"/>
      <c r="H1" s="16"/>
    </row>
    <row r="2" spans="1:8" x14ac:dyDescent="0.25">
      <c r="A2" s="15" t="s">
        <v>30</v>
      </c>
      <c r="B2" s="16"/>
      <c r="C2" s="4" t="s">
        <v>31</v>
      </c>
      <c r="D2" s="4" t="s">
        <v>32</v>
      </c>
      <c r="E2" s="4" t="s">
        <v>33</v>
      </c>
    </row>
    <row r="3" spans="1:8" ht="30" customHeight="1" x14ac:dyDescent="0.25">
      <c r="A3" s="5" t="s">
        <v>34</v>
      </c>
      <c r="B3" s="5" t="s">
        <v>0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8</v>
      </c>
    </row>
    <row r="4" spans="1:8" x14ac:dyDescent="0.25">
      <c r="A4" s="6">
        <v>1</v>
      </c>
      <c r="B4" s="7" t="s">
        <v>9</v>
      </c>
      <c r="C4" s="6">
        <v>1005221431</v>
      </c>
      <c r="D4" s="8"/>
      <c r="E4" s="8"/>
      <c r="F4" s="8"/>
      <c r="G4" s="9" t="str">
        <f t="shared" ref="G4:G22" si="0">IF(AND(D4&lt;&gt;"",E4&lt;&gt;"",F4&lt;&gt;""),D4*0.6+E4*0.3+F4*0.1,"")</f>
        <v/>
      </c>
      <c r="H4" s="10" t="str">
        <f t="shared" ref="H4:H22" si="1">IF(G4="","",IF(G4&gt;=3,"APROBADO","REPROBADO"))</f>
        <v/>
      </c>
    </row>
    <row r="5" spans="1:8" x14ac:dyDescent="0.25">
      <c r="A5" s="11">
        <v>2</v>
      </c>
      <c r="B5" s="12" t="s">
        <v>11</v>
      </c>
      <c r="C5" s="11">
        <v>1097183668</v>
      </c>
      <c r="D5" s="13"/>
      <c r="E5" s="13"/>
      <c r="F5" s="13"/>
      <c r="G5" s="9" t="str">
        <f t="shared" si="0"/>
        <v/>
      </c>
      <c r="H5" s="14" t="str">
        <f t="shared" si="1"/>
        <v/>
      </c>
    </row>
    <row r="6" spans="1:8" x14ac:dyDescent="0.25">
      <c r="A6" s="6">
        <v>3</v>
      </c>
      <c r="B6" s="7" t="s">
        <v>12</v>
      </c>
      <c r="C6" s="6">
        <v>1097184508</v>
      </c>
      <c r="D6" s="8"/>
      <c r="E6" s="8"/>
      <c r="F6" s="8"/>
      <c r="G6" s="9" t="str">
        <f t="shared" si="0"/>
        <v/>
      </c>
      <c r="H6" s="10" t="str">
        <f t="shared" si="1"/>
        <v/>
      </c>
    </row>
    <row r="7" spans="1:8" x14ac:dyDescent="0.25">
      <c r="A7" s="11">
        <v>4</v>
      </c>
      <c r="B7" s="12" t="s">
        <v>14</v>
      </c>
      <c r="C7" s="11">
        <v>1102373572</v>
      </c>
      <c r="D7" s="13"/>
      <c r="E7" s="13"/>
      <c r="F7" s="13"/>
      <c r="G7" s="9" t="str">
        <f t="shared" si="0"/>
        <v/>
      </c>
      <c r="H7" s="14" t="str">
        <f t="shared" si="1"/>
        <v/>
      </c>
    </row>
    <row r="8" spans="1:8" x14ac:dyDescent="0.25">
      <c r="A8" s="6">
        <v>5</v>
      </c>
      <c r="B8" s="7" t="s">
        <v>15</v>
      </c>
      <c r="C8" s="6">
        <v>1096200627</v>
      </c>
      <c r="D8" s="8"/>
      <c r="E8" s="8"/>
      <c r="F8" s="8"/>
      <c r="G8" s="9" t="str">
        <f t="shared" si="0"/>
        <v/>
      </c>
      <c r="H8" s="10" t="str">
        <f t="shared" si="1"/>
        <v/>
      </c>
    </row>
    <row r="9" spans="1:8" x14ac:dyDescent="0.25">
      <c r="A9" s="11">
        <v>6</v>
      </c>
      <c r="B9" s="12" t="s">
        <v>16</v>
      </c>
      <c r="C9" s="11">
        <v>1005186689</v>
      </c>
      <c r="D9" s="13"/>
      <c r="E9" s="13"/>
      <c r="F9" s="13"/>
      <c r="G9" s="9" t="str">
        <f t="shared" si="0"/>
        <v/>
      </c>
      <c r="H9" s="14" t="str">
        <f t="shared" si="1"/>
        <v/>
      </c>
    </row>
    <row r="10" spans="1:8" x14ac:dyDescent="0.25">
      <c r="A10" s="6">
        <v>7</v>
      </c>
      <c r="B10" s="7" t="s">
        <v>17</v>
      </c>
      <c r="C10" s="6">
        <v>1051634775</v>
      </c>
      <c r="D10" s="8"/>
      <c r="E10" s="8"/>
      <c r="F10" s="8"/>
      <c r="G10" s="9" t="str">
        <f t="shared" si="0"/>
        <v/>
      </c>
      <c r="H10" s="10" t="str">
        <f t="shared" si="1"/>
        <v/>
      </c>
    </row>
    <row r="11" spans="1:8" x14ac:dyDescent="0.25">
      <c r="A11" s="11">
        <v>8</v>
      </c>
      <c r="B11" s="12" t="s">
        <v>18</v>
      </c>
      <c r="C11" s="11">
        <v>1005462180</v>
      </c>
      <c r="D11" s="13"/>
      <c r="E11" s="13"/>
      <c r="F11" s="13"/>
      <c r="G11" s="9" t="str">
        <f t="shared" si="0"/>
        <v/>
      </c>
      <c r="H11" s="14" t="str">
        <f t="shared" si="1"/>
        <v/>
      </c>
    </row>
    <row r="12" spans="1:8" x14ac:dyDescent="0.25">
      <c r="A12" s="6">
        <v>9</v>
      </c>
      <c r="B12" s="7" t="s">
        <v>19</v>
      </c>
      <c r="C12" s="6">
        <v>1097783299</v>
      </c>
      <c r="D12" s="8"/>
      <c r="E12" s="8"/>
      <c r="F12" s="8"/>
      <c r="G12" s="9" t="str">
        <f t="shared" si="0"/>
        <v/>
      </c>
      <c r="H12" s="10" t="str">
        <f t="shared" si="1"/>
        <v/>
      </c>
    </row>
    <row r="13" spans="1:8" x14ac:dyDescent="0.25">
      <c r="A13" s="11">
        <v>10</v>
      </c>
      <c r="B13" s="12" t="s">
        <v>20</v>
      </c>
      <c r="C13" s="11">
        <v>1097183856</v>
      </c>
      <c r="D13" s="13"/>
      <c r="E13" s="13"/>
      <c r="F13" s="13"/>
      <c r="G13" s="9" t="str">
        <f t="shared" si="0"/>
        <v/>
      </c>
      <c r="H13" s="14" t="str">
        <f t="shared" si="1"/>
        <v/>
      </c>
    </row>
    <row r="14" spans="1:8" x14ac:dyDescent="0.25">
      <c r="A14" s="6">
        <v>11</v>
      </c>
      <c r="B14" s="7" t="s">
        <v>21</v>
      </c>
      <c r="C14" s="6">
        <v>1096225235</v>
      </c>
      <c r="D14" s="8"/>
      <c r="E14" s="8"/>
      <c r="F14" s="8"/>
      <c r="G14" s="9" t="str">
        <f t="shared" si="0"/>
        <v/>
      </c>
      <c r="H14" s="10" t="str">
        <f t="shared" si="1"/>
        <v/>
      </c>
    </row>
    <row r="15" spans="1:8" x14ac:dyDescent="0.25">
      <c r="A15" s="11">
        <v>12</v>
      </c>
      <c r="B15" s="12" t="s">
        <v>22</v>
      </c>
      <c r="C15" s="11">
        <v>1039681626</v>
      </c>
      <c r="D15" s="13"/>
      <c r="E15" s="13"/>
      <c r="F15" s="13"/>
      <c r="G15" s="9" t="str">
        <f t="shared" si="0"/>
        <v/>
      </c>
      <c r="H15" s="14" t="str">
        <f t="shared" si="1"/>
        <v/>
      </c>
    </row>
    <row r="16" spans="1:8" x14ac:dyDescent="0.25">
      <c r="A16" s="6">
        <v>13</v>
      </c>
      <c r="B16" s="7" t="s">
        <v>23</v>
      </c>
      <c r="C16" s="6">
        <v>1051634628</v>
      </c>
      <c r="D16" s="8"/>
      <c r="E16" s="8"/>
      <c r="F16" s="8"/>
      <c r="G16" s="9" t="str">
        <f t="shared" si="0"/>
        <v/>
      </c>
      <c r="H16" s="10" t="str">
        <f t="shared" si="1"/>
        <v/>
      </c>
    </row>
    <row r="17" spans="1:8" x14ac:dyDescent="0.25">
      <c r="A17" s="11">
        <v>14</v>
      </c>
      <c r="B17" s="12" t="s">
        <v>24</v>
      </c>
      <c r="C17" s="11">
        <v>1095800511</v>
      </c>
      <c r="D17" s="13"/>
      <c r="E17" s="13"/>
      <c r="F17" s="13"/>
      <c r="G17" s="9" t="str">
        <f t="shared" si="0"/>
        <v/>
      </c>
      <c r="H17" s="14" t="str">
        <f t="shared" si="1"/>
        <v/>
      </c>
    </row>
    <row r="18" spans="1:8" x14ac:dyDescent="0.25">
      <c r="A18" s="6">
        <v>15</v>
      </c>
      <c r="B18" s="7" t="s">
        <v>25</v>
      </c>
      <c r="C18" s="6">
        <v>1052954359</v>
      </c>
      <c r="D18" s="8"/>
      <c r="E18" s="8"/>
      <c r="F18" s="8"/>
      <c r="G18" s="9" t="str">
        <f t="shared" si="0"/>
        <v/>
      </c>
      <c r="H18" s="10" t="str">
        <f t="shared" si="1"/>
        <v/>
      </c>
    </row>
    <row r="19" spans="1:8" x14ac:dyDescent="0.25">
      <c r="A19" s="11">
        <v>16</v>
      </c>
      <c r="B19" s="12" t="s">
        <v>26</v>
      </c>
      <c r="C19" s="11">
        <v>1096246370</v>
      </c>
      <c r="D19" s="13"/>
      <c r="E19" s="13"/>
      <c r="F19" s="13"/>
      <c r="G19" s="9" t="str">
        <f t="shared" si="0"/>
        <v/>
      </c>
      <c r="H19" s="14" t="str">
        <f t="shared" si="1"/>
        <v/>
      </c>
    </row>
    <row r="20" spans="1:8" x14ac:dyDescent="0.25">
      <c r="A20" s="6">
        <v>17</v>
      </c>
      <c r="B20" s="7" t="s">
        <v>27</v>
      </c>
      <c r="C20" s="6">
        <v>1096802843</v>
      </c>
      <c r="D20" s="8"/>
      <c r="E20" s="8"/>
      <c r="F20" s="8"/>
      <c r="G20" s="9" t="str">
        <f t="shared" si="0"/>
        <v/>
      </c>
      <c r="H20" s="10" t="str">
        <f t="shared" si="1"/>
        <v/>
      </c>
    </row>
    <row r="21" spans="1:8" x14ac:dyDescent="0.25">
      <c r="A21" s="11">
        <v>18</v>
      </c>
      <c r="B21" s="12" t="s">
        <v>28</v>
      </c>
      <c r="C21" s="11">
        <v>1096801641</v>
      </c>
      <c r="D21" s="13"/>
      <c r="E21" s="13"/>
      <c r="F21" s="13"/>
      <c r="G21" s="9" t="str">
        <f t="shared" si="0"/>
        <v/>
      </c>
      <c r="H21" s="14" t="str">
        <f t="shared" si="1"/>
        <v/>
      </c>
    </row>
    <row r="22" spans="1:8" x14ac:dyDescent="0.25">
      <c r="A22" s="6">
        <v>19</v>
      </c>
      <c r="B22" s="7" t="s">
        <v>29</v>
      </c>
      <c r="C22" s="6">
        <v>1005185382</v>
      </c>
      <c r="D22" s="8"/>
      <c r="E22" s="8"/>
      <c r="F22" s="8"/>
      <c r="G22" s="9" t="str">
        <f t="shared" si="0"/>
        <v/>
      </c>
      <c r="H22" s="10" t="str">
        <f t="shared" si="1"/>
        <v/>
      </c>
    </row>
  </sheetData>
  <mergeCells count="2">
    <mergeCell ref="A2:B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Resultados_Examen</vt:lpstr>
      <vt:lpstr>CORTE I</vt:lpstr>
      <vt:lpstr>CORTE II</vt:lpstr>
      <vt:lpstr>CORTE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 Gomez</cp:lastModifiedBy>
  <dcterms:created xsi:type="dcterms:W3CDTF">2026-03-24T18:47:26Z</dcterms:created>
  <dcterms:modified xsi:type="dcterms:W3CDTF">2026-03-28T21:28:53Z</dcterms:modified>
</cp:coreProperties>
</file>